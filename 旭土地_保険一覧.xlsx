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保険一覧" sheetId="1" state="visible" r:id="rId3"/>
    <sheet name="返戻金推移" sheetId="2" state="visible" r:id="rId4"/>
    <sheet name="保険支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<sst xmlns="http://schemas.openxmlformats.org/spreadsheetml/2006/main" count="266" uniqueCount="136">
  <si>
    <r>
      <rPr>
        <b val="true"/>
        <sz val="13"/>
        <color rgb="FF000000"/>
        <rFont val="WenQuanYi Zen Hei"/>
        <family val="2"/>
      </rPr>
      <t xml:space="preserve">旭土地建物 保険契約一覧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6</t>
    </r>
    <r>
      <rPr>
        <b val="true"/>
        <sz val="13"/>
        <color rgb="FF000000"/>
        <rFont val="WenQuanYi Zen Hei"/>
        <family val="2"/>
      </rPr>
      <t xml:space="preserve">月</t>
    </r>
    <r>
      <rPr>
        <b val="true"/>
        <sz val="13"/>
        <color rgb="FF000000"/>
        <rFont val="Arial"/>
        <family val="0"/>
        <charset val="1"/>
      </rPr>
      <t xml:space="preserve">10</t>
    </r>
    <r>
      <rPr>
        <b val="true"/>
        <sz val="13"/>
        <color rgb="FF000000"/>
        <rFont val="WenQuanYi Zen Hei"/>
        <family val="2"/>
      </rPr>
      <t xml:space="preserve">日現在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</si>
  <si>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アップロードされた保険一覧ファイル「旭土地 </t>
    </r>
    <r>
      <rPr>
        <i val="true"/>
        <sz val="10"/>
        <color rgb="FF595959"/>
        <rFont val="Arial"/>
        <family val="0"/>
        <charset val="1"/>
      </rPr>
      <t xml:space="preserve">2026.6.10</t>
    </r>
    <r>
      <rPr>
        <i val="true"/>
        <sz val="10"/>
        <color rgb="FF595959"/>
        <rFont val="WenQuanYi Zen Hei"/>
        <family val="2"/>
      </rPr>
      <t xml:space="preserve">」シート。青字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転記値、黒字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計算。保険料は月払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月額、年払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年額。返戻金は万円。</t>
    </r>
  </si>
  <si>
    <t xml:space="preserve">番号</t>
  </si>
  <si>
    <t xml:space="preserve">保険会社</t>
  </si>
  <si>
    <t xml:space="preserve">契約番号</t>
  </si>
  <si>
    <t xml:space="preserve">加入日</t>
  </si>
  <si>
    <t xml:space="preserve">契約者</t>
  </si>
  <si>
    <t xml:space="preserve">保険種類</t>
  </si>
  <si>
    <t xml:space="preserve">損金割合</t>
  </si>
  <si>
    <t xml:space="preserve">被保険者</t>
  </si>
  <si>
    <t xml:space="preserve">保険期間</t>
  </si>
  <si>
    <t xml:space="preserve">払込方法</t>
  </si>
  <si>
    <r>
      <rPr>
        <b val="true"/>
        <sz val="10"/>
        <color rgb="FFFFFFFF"/>
        <rFont val="WenQuanYi Zen Hei"/>
        <family val="2"/>
      </rPr>
      <t xml:space="preserve">保険料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月払</t>
    </r>
    <r>
      <rPr>
        <b val="true"/>
        <sz val="10"/>
        <color rgb="FFFFFFFF"/>
        <rFont val="Arial"/>
        <family val="0"/>
        <charset val="1"/>
      </rPr>
      <t xml:space="preserve">=</t>
    </r>
    <r>
      <rPr>
        <b val="true"/>
        <sz val="10"/>
        <color rgb="FFFFFFFF"/>
        <rFont val="WenQuanYi Zen Hei"/>
        <family val="2"/>
      </rPr>
      <t xml:space="preserve">月額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年払</t>
    </r>
    <r>
      <rPr>
        <b val="true"/>
        <sz val="10"/>
        <color rgb="FFFFFFFF"/>
        <rFont val="Arial"/>
        <family val="0"/>
        <charset val="1"/>
      </rPr>
      <t xml:space="preserve">=</t>
    </r>
    <r>
      <rPr>
        <b val="true"/>
        <sz val="10"/>
        <color rgb="FFFFFFFF"/>
        <rFont val="WenQuanYi Zen Hei"/>
        <family val="2"/>
      </rPr>
      <t xml:space="preserve">年額</t>
    </r>
  </si>
  <si>
    <r>
      <rPr>
        <b val="true"/>
        <sz val="10"/>
        <color rgb="FFFFFFFF"/>
        <rFont val="WenQuanYi Zen Hei"/>
        <family val="2"/>
      </rPr>
      <t xml:space="preserve">年間保険料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</si>
  <si>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年間損金計上額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</si>
  <si>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保険金</t>
  </si>
  <si>
    <r>
      <rPr>
        <b val="true"/>
        <sz val="10"/>
        <color rgb="FFFFFFFF"/>
        <rFont val="WenQuanYi Zen Hei"/>
        <family val="2"/>
      </rPr>
      <t xml:space="preserve">返戻金</t>
    </r>
    <r>
      <rPr>
        <b val="true"/>
        <sz val="10"/>
        <color rgb="FFFFFFFF"/>
        <rFont val="Arial"/>
        <family val="0"/>
        <charset val="1"/>
      </rPr>
      <t xml:space="preserve">(R8</t>
    </r>
    <r>
      <rPr>
        <b val="true"/>
        <sz val="10"/>
        <color rgb="FFFFFFFF"/>
        <rFont val="WenQuanYi Zen Hei"/>
        <family val="2"/>
      </rPr>
      <t xml:space="preserve">年・万円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</si>
  <si>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返戻率</t>
    </r>
    <r>
      <rPr>
        <b val="true"/>
        <sz val="10"/>
        <color rgb="FFFFFFFF"/>
        <rFont val="Arial"/>
        <family val="0"/>
        <charset val="1"/>
      </rPr>
      <t xml:space="preserve">(R8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</si>
  <si>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意向</t>
  </si>
  <si>
    <r>
      <rPr>
        <b val="true"/>
        <sz val="10"/>
        <color rgb="FFFFFFFF"/>
        <rFont val="WenQuanYi Zen Hei"/>
        <family val="2"/>
      </rPr>
      <t xml:space="preserve">年払の支払月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加入日の月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</si>
  <si>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支払停止年月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入力で反映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</si>
  <si>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備考</t>
  </si>
  <si>
    <t xml:space="preserve">大同生命</t>
  </si>
  <si>
    <t xml:space="preserve">679-166564-0</t>
  </si>
  <si>
    <t xml:space="preserve">旭土地</t>
  </si>
  <si>
    <t xml:space="preserve">全額損金</t>
  </si>
  <si>
    <t xml:space="preserve">岡田 優子</t>
  </si>
  <si>
    <r>
      <rPr>
        <sz val="10"/>
        <color rgb="FF0000FF"/>
        <rFont val="Arial"/>
        <family val="0"/>
        <charset val="1"/>
      </rPr>
      <t xml:space="preserve">90</t>
    </r>
    <r>
      <rPr>
        <sz val="10"/>
        <color rgb="FF0000FF"/>
        <rFont val="WenQuanYi Zen Hei"/>
        <family val="2"/>
      </rPr>
      <t xml:space="preserve">歳まで</t>
    </r>
  </si>
  <si>
    <t xml:space="preserve">払済</t>
  </si>
  <si>
    <r>
      <rPr>
        <sz val="10"/>
        <color rgb="FF0000FF"/>
        <rFont val="Arial"/>
        <family val="0"/>
        <charset val="1"/>
      </rPr>
      <t xml:space="preserve">331</t>
    </r>
    <r>
      <rPr>
        <sz val="10"/>
        <color rgb="FF0000FF"/>
        <rFont val="WenQuanYi Zen Hei"/>
        <family val="2"/>
      </rPr>
      <t xml:space="preserve">万円</t>
    </r>
  </si>
  <si>
    <t xml:space="preserve">随時解約検討</t>
  </si>
  <si>
    <t xml:space="preserve">697-166566-0</t>
  </si>
  <si>
    <t xml:space="preserve">岡田 淳</t>
  </si>
  <si>
    <r>
      <rPr>
        <sz val="10"/>
        <color rgb="FF0000FF"/>
        <rFont val="Arial"/>
        <family val="0"/>
        <charset val="1"/>
      </rPr>
      <t xml:space="preserve">388</t>
    </r>
    <r>
      <rPr>
        <sz val="10"/>
        <color rgb="FF0000FF"/>
        <rFont val="WenQuanYi Zen Hei"/>
        <family val="2"/>
      </rPr>
      <t xml:space="preserve">万円</t>
    </r>
  </si>
  <si>
    <t xml:space="preserve">636-016316-0</t>
  </si>
  <si>
    <t xml:space="preserve">Ｊ 岡田 優子</t>
  </si>
  <si>
    <r>
      <rPr>
        <sz val="10"/>
        <color rgb="FF0000FF"/>
        <rFont val="Arial"/>
        <family val="0"/>
        <charset val="1"/>
      </rPr>
      <t xml:space="preserve">638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</si>
  <si>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0000FF"/>
        <rFont val="Arial"/>
        <family val="0"/>
        <charset val="1"/>
      </rPr>
      <t xml:space="preserve">2027</t>
    </r>
    <r>
      <rPr>
        <sz val="10"/>
        <color rgb="FF0000FF"/>
        <rFont val="WenQuanYi Zen Hei"/>
        <family val="2"/>
      </rPr>
      <t xml:space="preserve">年度払済？</t>
    </r>
  </si>
  <si>
    <t xml:space="preserve">656-028099-0</t>
  </si>
  <si>
    <t xml:space="preserve">Ｔ 岡田 優子</t>
  </si>
  <si>
    <r>
      <rPr>
        <sz val="10"/>
        <color rgb="FF0000FF"/>
        <rFont val="Arial"/>
        <family val="0"/>
        <charset val="1"/>
      </rPr>
      <t xml:space="preserve">622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</si>
  <si>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WenQuanYi Zen Hei"/>
        <family val="2"/>
      </rPr>
      <t xml:space="preserve">年度払済？</t>
    </r>
  </si>
  <si>
    <t xml:space="preserve">086-376628-0</t>
  </si>
  <si>
    <t xml:space="preserve">全損</t>
  </si>
  <si>
    <t xml:space="preserve">坂本 武</t>
  </si>
  <si>
    <t xml:space="preserve">終身</t>
  </si>
  <si>
    <t xml:space="preserve">月払</t>
  </si>
  <si>
    <r>
      <rPr>
        <sz val="10"/>
        <color rgb="FF0000FF"/>
        <rFont val="WenQuanYi Zen Hei"/>
        <family val="2"/>
      </rPr>
      <t xml:space="preserve">入院 </t>
    </r>
    <r>
      <rPr>
        <sz val="10"/>
        <color rgb="FF0000FF"/>
        <rFont val="Arial"/>
        <family val="0"/>
        <charset val="1"/>
      </rPr>
      <t xml:space="preserve">10,000</t>
    </r>
    <r>
      <rPr>
        <sz val="10"/>
        <color rgb="FF0000FF"/>
        <rFont val="WenQuanYi Zen Hei"/>
        <family val="2"/>
      </rPr>
      <t xml:space="preserve">円</t>
    </r>
  </si>
  <si>
    <t xml:space="preserve">保有</t>
  </si>
  <si>
    <r>
      <rPr>
        <sz val="10"/>
        <color rgb="FF595959"/>
        <rFont val="WenQuanYi Zen Hei"/>
        <family val="2"/>
      </rPr>
      <t xml:space="preserve">医療保険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入院日額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万円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。元表の損金計上合計に未算入</t>
    </r>
  </si>
  <si>
    <t xml:space="preserve">636-010531-0</t>
  </si>
  <si>
    <t xml:space="preserve">横山 清美</t>
  </si>
  <si>
    <r>
      <rPr>
        <sz val="10"/>
        <color rgb="FF0000FF"/>
        <rFont val="WenQuanYi Zen Hei"/>
        <family val="2"/>
      </rPr>
      <t xml:space="preserve">Ｊ </t>
    </r>
    <r>
      <rPr>
        <sz val="10"/>
        <color rgb="FF0000FF"/>
        <rFont val="Arial"/>
        <family val="0"/>
        <charset val="1"/>
      </rPr>
      <t xml:space="preserve">90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</si>
  <si>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1,500</t>
    </r>
    <r>
      <rPr>
        <sz val="10"/>
        <color rgb="FF0000FF"/>
        <rFont val="WenQuanYi Zen Hei"/>
        <family val="2"/>
      </rPr>
      <t xml:space="preserve">万円</t>
    </r>
  </si>
  <si>
    <t xml:space="preserve">697-074568-0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</si>
  <si>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割損金</t>
    </r>
  </si>
  <si>
    <r>
      <rPr>
        <sz val="10"/>
        <color rgb="FF0000FF"/>
        <rFont val="WenQuanYi Zen Hei"/>
        <family val="2"/>
      </rPr>
      <t xml:space="preserve">総Ｌ </t>
    </r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</si>
  <si>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10,000</t>
    </r>
    <r>
      <rPr>
        <sz val="10"/>
        <color rgb="FF0000FF"/>
        <rFont val="WenQuanYi Zen Hei"/>
        <family val="2"/>
      </rPr>
      <t xml:space="preserve">万円</t>
    </r>
  </si>
  <si>
    <t xml:space="preserve">697-129724-0</t>
  </si>
  <si>
    <r>
      <rPr>
        <sz val="10"/>
        <color rgb="FF0000FF"/>
        <rFont val="Arial"/>
        <family val="0"/>
        <charset val="1"/>
      </rPr>
      <t xml:space="preserve">3,000</t>
    </r>
    <r>
      <rPr>
        <sz val="10"/>
        <color rgb="FF0000FF"/>
        <rFont val="WenQuanYi Zen Hei"/>
        <family val="2"/>
      </rPr>
      <t xml:space="preserve">万円</t>
    </r>
  </si>
  <si>
    <t xml:space="preserve">636-013356-0</t>
  </si>
  <si>
    <t xml:space="preserve">坂本 麻莉</t>
  </si>
  <si>
    <t xml:space="preserve">697-131400-0</t>
  </si>
  <si>
    <r>
      <rPr>
        <sz val="10"/>
        <color rgb="FF0000FF"/>
        <rFont val="WenQuanYi Zen Hei"/>
        <family val="2"/>
      </rPr>
      <t xml:space="preserve">総Ｌ </t>
    </r>
    <r>
      <rPr>
        <sz val="10"/>
        <color rgb="FF0000FF"/>
        <rFont val="Arial"/>
        <family val="0"/>
        <charset val="1"/>
      </rPr>
      <t xml:space="preserve">90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</si>
  <si>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6,000</t>
    </r>
    <r>
      <rPr>
        <sz val="10"/>
        <color rgb="FF0000FF"/>
        <rFont val="WenQuanYi Zen Hei"/>
        <family val="2"/>
      </rPr>
      <t xml:space="preserve">万円</t>
    </r>
  </si>
  <si>
    <t xml:space="preserve">697-159957-0</t>
  </si>
  <si>
    <t xml:space="preserve">年払</t>
  </si>
  <si>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WenQuanYi Zen Hei"/>
        <family val="2"/>
      </rPr>
      <t xml:space="preserve">年度払済？</t>
    </r>
  </si>
  <si>
    <t xml:space="preserve">656-028100-0</t>
  </si>
  <si>
    <t xml:space="preserve">Ｔ 岡田 淳</t>
  </si>
  <si>
    <r>
      <rPr>
        <sz val="10"/>
        <color rgb="FF0000FF"/>
        <rFont val="Arial"/>
        <family val="0"/>
        <charset val="1"/>
      </rPr>
      <t xml:space="preserve">15,000</t>
    </r>
    <r>
      <rPr>
        <sz val="10"/>
        <color rgb="FF0000FF"/>
        <rFont val="WenQuanYi Zen Hei"/>
        <family val="2"/>
      </rPr>
      <t xml:space="preserve">万円</t>
    </r>
  </si>
  <si>
    <t xml:space="preserve">日本生命</t>
  </si>
  <si>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割損金</t>
    </r>
  </si>
  <si>
    <t xml:space="preserve">坂本 信</t>
  </si>
  <si>
    <r>
      <rPr>
        <sz val="10"/>
        <color rgb="FF0000FF"/>
        <rFont val="Arial"/>
        <family val="0"/>
        <charset val="1"/>
      </rPr>
      <t xml:space="preserve">97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</si>
  <si>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14,000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</si>
  <si>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595959"/>
        <rFont val="WenQuanYi Zen Hei"/>
        <family val="2"/>
      </rPr>
      <t xml:space="preserve">元表の記載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横浜</t>
    </r>
  </si>
  <si>
    <r>
      <rPr>
        <sz val="10"/>
        <color rgb="FF0000FF"/>
        <rFont val="Arial"/>
        <family val="0"/>
        <charset val="1"/>
      </rPr>
      <t xml:space="preserve">2,300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</si>
  <si>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595959"/>
        <rFont val="WenQuanYi Zen Hei"/>
        <family val="2"/>
      </rPr>
      <t xml:space="preserve">元表の記載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三菱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</si>
  <si>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</si>
  <si>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12,400</t>
    </r>
    <r>
      <rPr>
        <sz val="10"/>
        <color rgb="FF0000FF"/>
        <rFont val="WenQuanYi Zen Hei"/>
        <family val="2"/>
      </rPr>
      <t xml:space="preserve">万円</t>
    </r>
  </si>
  <si>
    <t xml:space="preserve">明治安田</t>
  </si>
  <si>
    <t xml:space="preserve">新養老保険</t>
  </si>
  <si>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</si>
  <si>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</si>
  <si>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WenQuanYi Zen Hei"/>
        <family val="2"/>
      </rPr>
      <t xml:space="preserve">年度解約</t>
    </r>
  </si>
  <si>
    <r>
      <rPr>
        <sz val="10"/>
        <color rgb="FF0000FF"/>
        <rFont val="Arial"/>
        <family val="0"/>
        <charset val="1"/>
      </rPr>
      <t xml:space="preserve">67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</si>
  <si>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70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</si>
  <si>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1,878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</si>
  <si>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595959"/>
        <rFont val="WenQuanYi Zen Hei"/>
        <family val="2"/>
      </rPr>
      <t xml:space="preserve">元表の右端欄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番号欄に「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」と記載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。番号は本表で</t>
    </r>
    <r>
      <rPr>
        <sz val="10"/>
        <color rgb="FF595959"/>
        <rFont val="Arial"/>
        <family val="0"/>
        <charset val="1"/>
      </rPr>
      <t xml:space="preserve">19</t>
    </r>
    <r>
      <rPr>
        <sz val="10"/>
        <color rgb="FF595959"/>
        <rFont val="WenQuanYi Zen Hei"/>
        <family val="2"/>
      </rPr>
      <t xml:space="preserve">・</t>
    </r>
    <r>
      <rPr>
        <sz val="10"/>
        <color rgb="FF595959"/>
        <rFont val="Arial"/>
        <family val="0"/>
        <charset val="1"/>
      </rPr>
      <t xml:space="preserve">20</t>
    </r>
    <r>
      <rPr>
        <sz val="10"/>
        <color rgb="FF595959"/>
        <rFont val="WenQuanYi Zen Hei"/>
        <family val="2"/>
      </rPr>
      <t xml:space="preserve">に付番</t>
    </r>
  </si>
  <si>
    <r>
      <rPr>
        <sz val="10"/>
        <color rgb="FF595959"/>
        <rFont val="WenQuanYi Zen Hei"/>
        <family val="2"/>
      </rPr>
      <t xml:space="preserve">元表の右端欄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番号欄に「</t>
    </r>
    <r>
      <rPr>
        <sz val="10"/>
        <color rgb="FF595959"/>
        <rFont val="Arial"/>
        <family val="0"/>
        <charset val="1"/>
      </rPr>
      <t xml:space="preserve">11</t>
    </r>
    <r>
      <rPr>
        <sz val="10"/>
        <color rgb="FF595959"/>
        <rFont val="WenQuanYi Zen Hei"/>
        <family val="2"/>
      </rPr>
      <t xml:space="preserve">」と記載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。番号は本表で</t>
    </r>
    <r>
      <rPr>
        <sz val="10"/>
        <color rgb="FF595959"/>
        <rFont val="Arial"/>
        <family val="0"/>
        <charset val="1"/>
      </rPr>
      <t xml:space="preserve">19</t>
    </r>
    <r>
      <rPr>
        <sz val="10"/>
        <color rgb="FF595959"/>
        <rFont val="WenQuanYi Zen Hei"/>
        <family val="2"/>
      </rPr>
      <t xml:space="preserve">・</t>
    </r>
    <r>
      <rPr>
        <sz val="10"/>
        <color rgb="FF595959"/>
        <rFont val="Arial"/>
        <family val="0"/>
        <charset val="1"/>
      </rPr>
      <t xml:space="preserve">20</t>
    </r>
    <r>
      <rPr>
        <sz val="10"/>
        <color rgb="FF595959"/>
        <rFont val="WenQuanYi Zen Hei"/>
        <family val="2"/>
      </rPr>
      <t xml:space="preserve">に付番</t>
    </r>
  </si>
  <si>
    <t xml:space="preserve">合計</t>
  </si>
  <si>
    <r>
      <rPr>
        <sz val="10"/>
        <color rgb="FF595959"/>
        <rFont val="Arial"/>
        <family val="0"/>
        <charset val="1"/>
      </rPr>
      <t xml:space="preserve">K</t>
    </r>
    <r>
      <rPr>
        <sz val="10"/>
        <color rgb="FF595959"/>
        <rFont val="WenQuanYi Zen Hei"/>
        <family val="2"/>
      </rPr>
      <t xml:space="preserve">列合計は月払の月額合計</t>
    </r>
  </si>
  <si>
    <t xml:space="preserve">集計</t>
  </si>
  <si>
    <r>
      <rPr>
        <sz val="10"/>
        <color rgb="FF000000"/>
        <rFont val="WenQuanYi Zen Hei"/>
        <family val="2"/>
      </rPr>
      <t xml:space="preserve">月払の月額合計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</si>
  <si>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年払の年額合計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</si>
  <si>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年間保険料合計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</si>
  <si>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年間損金計上額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</si>
  <si>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損金にならない部分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円・資産計上等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</si>
  <si>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払済・保険料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の契約数</t>
    </r>
  </si>
  <si>
    <r>
      <rPr>
        <sz val="10"/>
        <color rgb="FF000000"/>
        <rFont val="Arial"/>
        <family val="0"/>
        <charset val="1"/>
      </rPr>
      <t xml:space="preserve">R8</t>
    </r>
    <r>
      <rPr>
        <sz val="10"/>
        <color rgb="FF000000"/>
        <rFont val="WenQuanYi Zen Hei"/>
        <family val="2"/>
      </rPr>
      <t xml:space="preserve">年の返戻金合計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)</t>
    </r>
  </si>
  <si>
    <t xml:space="preserve">元表との照合</t>
  </si>
  <si>
    <t xml:space="preserve">本表</t>
  </si>
  <si>
    <t xml:space="preserve">元表</t>
  </si>
  <si>
    <t xml:space="preserve">差</t>
  </si>
  <si>
    <r>
      <rPr>
        <sz val="10"/>
        <color rgb="FF000000"/>
        <rFont val="WenQuanYi Zen Hei"/>
        <family val="2"/>
      </rPr>
      <t xml:space="preserve">月払の月額合計 番号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18(</t>
    </r>
    <r>
      <rPr>
        <sz val="10"/>
        <color rgb="FF000000"/>
        <rFont val="WenQuanYi Zen Hei"/>
        <family val="2"/>
      </rPr>
      <t xml:space="preserve">元表 </t>
    </r>
    <r>
      <rPr>
        <sz val="10"/>
        <color rgb="FF000000"/>
        <rFont val="Arial"/>
        <family val="0"/>
        <charset val="1"/>
      </rPr>
      <t xml:space="preserve">863,958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</si>
  <si>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年払 番号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12(</t>
    </r>
    <r>
      <rPr>
        <sz val="10"/>
        <color rgb="FF000000"/>
        <rFont val="WenQuanYi Zen Hei"/>
        <family val="2"/>
      </rPr>
      <t xml:space="preserve">元表 </t>
    </r>
    <r>
      <rPr>
        <sz val="10"/>
        <color rgb="FF000000"/>
        <rFont val="Arial"/>
        <family val="0"/>
        <charset val="1"/>
      </rPr>
      <t xml:space="preserve">7,406,207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</si>
  <si>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年払 番号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18(</t>
    </r>
    <r>
      <rPr>
        <sz val="10"/>
        <color rgb="FF000000"/>
        <rFont val="WenQuanYi Zen Hei"/>
        <family val="2"/>
      </rPr>
      <t xml:space="preserve">元表 </t>
    </r>
    <r>
      <rPr>
        <sz val="10"/>
        <color rgb="FF000000"/>
        <rFont val="Arial"/>
        <family val="0"/>
        <charset val="1"/>
      </rPr>
      <t xml:space="preserve">15,546,552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</si>
  <si>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損金計上 番号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の合計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元表 </t>
    </r>
    <r>
      <rPr>
        <sz val="10"/>
        <color rgb="FF000000"/>
        <rFont val="Arial"/>
        <family val="0"/>
        <charset val="1"/>
      </rPr>
      <t xml:space="preserve">20,068,524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</si>
  <si>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※元表の損金計上合計は、番号</t>
    </r>
    <r>
      <rPr>
        <i val="true"/>
        <sz val="10"/>
        <color rgb="FF595959"/>
        <rFont val="Arial"/>
        <family val="0"/>
        <charset val="1"/>
      </rPr>
      <t xml:space="preserve">5(</t>
    </r>
    <r>
      <rPr>
        <i val="true"/>
        <sz val="10"/>
        <color rgb="FF595959"/>
        <rFont val="WenQuanYi Zen Hei"/>
        <family val="2"/>
      </rPr>
      <t xml:space="preserve">医療保険・年</t>
    </r>
    <r>
      <rPr>
        <i val="true"/>
        <sz val="10"/>
        <color rgb="FF595959"/>
        <rFont val="Arial"/>
        <family val="0"/>
        <charset val="1"/>
      </rPr>
      <t xml:space="preserve">27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と別枠の番号</t>
    </r>
    <r>
      <rPr>
        <i val="true"/>
        <sz val="10"/>
        <color rgb="FF595959"/>
        <rFont val="Arial"/>
        <family val="0"/>
        <charset val="1"/>
      </rPr>
      <t xml:space="preserve">20(</t>
    </r>
    <r>
      <rPr>
        <i val="true"/>
        <sz val="10"/>
        <color rgb="FF595959"/>
        <rFont val="WenQuanYi Zen Hei"/>
        <family val="2"/>
      </rPr>
      <t xml:space="preserve">月額</t>
    </r>
    <r>
      <rPr>
        <i val="true"/>
        <sz val="10"/>
        <color rgb="FF595959"/>
        <rFont val="Arial"/>
        <family val="0"/>
        <charset val="1"/>
      </rPr>
      <t xml:space="preserve">28,900</t>
    </r>
    <r>
      <rPr>
        <i val="true"/>
        <sz val="10"/>
        <color rgb="FF595959"/>
        <rFont val="WenQuanYi Zen Hei"/>
        <family val="2"/>
      </rPr>
      <t xml:space="preserve">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を含んでいません。本表の「年間損金計上額」にはこの</t>
    </r>
    <r>
      <rPr>
        <i val="true"/>
        <sz val="10"/>
        <color rgb="FF595959"/>
        <rFont val="Arial"/>
        <family val="0"/>
        <charset val="1"/>
      </rPr>
      <t xml:space="preserve">2</t>
    </r>
    <r>
      <rPr>
        <i val="true"/>
        <sz val="10"/>
        <color rgb="FF595959"/>
        <rFont val="WenQuanYi Zen Hei"/>
        <family val="2"/>
      </rPr>
      <t xml:space="preserve">件を含めています。</t>
    </r>
  </si>
  <si>
    <r>
      <rPr>
        <i val="true"/>
        <sz val="10"/>
        <color rgb="FF595959"/>
        <rFont val="WenQuanYi Zen Hei"/>
        <family val="2"/>
      </rPr>
      <t xml:space="preserve">※年払の支払月は加入日の月と仮定しています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会計上の保険料の計上月とおおむね一致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。実際の払込日は保険証券・引落口座で確認してください。</t>
    </r>
  </si>
  <si>
    <r>
      <rPr>
        <i val="true"/>
        <sz val="10"/>
        <color rgb="FF595959"/>
        <rFont val="WenQuanYi Zen Hei"/>
        <family val="2"/>
      </rPr>
      <t xml:space="preserve">※「支払停止年月」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黄色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に払済・解約の予定月を入れると、その月以降の支払が保険支払シートから除かれます。空欄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継続。</t>
    </r>
  </si>
  <si>
    <r>
      <rPr>
        <i val="true"/>
        <sz val="10"/>
        <color rgb="FF595959"/>
        <rFont val="WenQuanYi Zen Hei"/>
        <family val="2"/>
      </rPr>
      <t xml:space="preserve">※Ｊ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三大疾病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特約上皮内癌</t>
    </r>
    <r>
      <rPr>
        <i val="true"/>
        <sz val="10"/>
        <color rgb="FF595959"/>
        <rFont val="Arial"/>
        <family val="0"/>
        <charset val="1"/>
      </rPr>
      <t xml:space="preserve">) / </t>
    </r>
    <r>
      <rPr>
        <i val="true"/>
        <sz val="10"/>
        <color rgb="FF595959"/>
        <rFont val="WenQuanYi Zen Hei"/>
        <family val="2"/>
      </rPr>
      <t xml:space="preserve">Ｔ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身体障害</t>
    </r>
    <r>
      <rPr>
        <i val="true"/>
        <sz val="10"/>
        <color rgb="FF595959"/>
        <rFont val="Arial"/>
        <family val="0"/>
        <charset val="1"/>
      </rPr>
      <t xml:space="preserve">+</t>
    </r>
    <r>
      <rPr>
        <i val="true"/>
        <sz val="10"/>
        <color rgb="FF595959"/>
        <rFont val="WenQuanYi Zen Hei"/>
        <family val="2"/>
      </rPr>
      <t xml:space="preserve">障害死亡 </t>
    </r>
    <r>
      <rPr>
        <i val="true"/>
        <sz val="10"/>
        <color rgb="FF595959"/>
        <rFont val="Arial"/>
        <family val="0"/>
        <charset val="1"/>
      </rPr>
      <t xml:space="preserve">/ </t>
    </r>
    <r>
      <rPr>
        <i val="true"/>
        <sz val="10"/>
        <color rgb="FF595959"/>
        <rFont val="WenQuanYi Zen Hei"/>
        <family val="2"/>
      </rPr>
      <t xml:space="preserve">Ｌ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病気死亡・事故死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総合型Ｌ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ＡＩＧの損害付き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。被保険者名の頭記号は元表のまま。</t>
    </r>
  </si>
  <si>
    <r>
      <rPr>
        <b val="true"/>
        <sz val="13"/>
        <color rgb="FF000000"/>
        <rFont val="WenQuanYi Zen Hei"/>
        <family val="2"/>
      </rPr>
      <t xml:space="preserve">解約返戻金の推移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万円</t>
    </r>
    <r>
      <rPr>
        <b val="true"/>
        <sz val="13"/>
        <color rgb="FF000000"/>
        <rFont val="Arial"/>
        <family val="0"/>
        <charset val="1"/>
      </rPr>
      <t xml:space="preserve">)</t>
    </r>
    <r>
      <rPr>
        <b val="true"/>
        <sz val="13"/>
        <color rgb="FF000000"/>
        <rFont val="WenQuanYi Zen Hei"/>
        <family val="2"/>
      </rPr>
      <t xml:space="preserve">・旭土地建物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</si>
  <si>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保険一覧ファイル「旭土地 </t>
    </r>
    <r>
      <rPr>
        <i val="true"/>
        <sz val="10"/>
        <color rgb="FF595959"/>
        <rFont val="Arial"/>
        <family val="0"/>
        <charset val="1"/>
      </rPr>
      <t xml:space="preserve">2026.6.10</t>
    </r>
    <r>
      <rPr>
        <i val="true"/>
        <sz val="10"/>
        <color rgb="FF595959"/>
        <rFont val="WenQuanYi Zen Hei"/>
        <family val="2"/>
      </rPr>
      <t xml:space="preserve">」。各年の返戻金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と返戻率。番号</t>
    </r>
    <r>
      <rPr>
        <i val="true"/>
        <sz val="10"/>
        <color rgb="FF595959"/>
        <rFont val="Arial"/>
        <family val="0"/>
        <charset val="1"/>
      </rPr>
      <t xml:space="preserve">5(</t>
    </r>
    <r>
      <rPr>
        <i val="true"/>
        <sz val="10"/>
        <color rgb="FF595959"/>
        <rFont val="WenQuanYi Zen Hei"/>
        <family val="2"/>
      </rPr>
      <t xml:space="preserve">医療保険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は元表に推移なし。</t>
    </r>
  </si>
  <si>
    <t xml:space="preserve">年</t>
  </si>
  <si>
    <r>
      <rPr>
        <b val="true"/>
        <sz val="10"/>
        <color rgb="FF000000"/>
        <rFont val="Arial"/>
        <family val="0"/>
        <charset val="1"/>
      </rPr>
      <t xml:space="preserve">2025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</si>
  <si>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</si>
  <si>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2027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</si>
  <si>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2028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</si>
  <si>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2029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</si>
  <si>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2030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</si>
  <si>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2031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</si>
  <si>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2032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</si>
  <si>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2033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</si>
  <si>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2034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</si>
  <si>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2035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</si>
  <si>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WenQuanYi Zen Hei"/>
        <family val="2"/>
      </rPr>
      <t xml:space="preserve">返戻率</t>
    </r>
    <r>
      <rPr>
        <b val="true"/>
        <sz val="10"/>
        <color rgb="FF000000"/>
        <rFont val="Arial"/>
        <family val="0"/>
        <charset val="1"/>
      </rPr>
      <t xml:space="preserve">(R8</t>
    </r>
    <r>
      <rPr>
        <b val="true"/>
        <sz val="10"/>
        <color rgb="FF000000"/>
        <rFont val="WenQuanYi Zen Hei"/>
        <family val="2"/>
      </rPr>
      <t xml:space="preserve">年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</si>
  <si>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※返戻金は各年の見込額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。合計は期間満了済みの契約が抜けるため、年が進むと減る箇所があります。解約時の課税関係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返戻金−資産計上額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は税理士に確認してください。</t>
    </r>
  </si>
  <si>
    <r>
      <rPr>
        <b val="true"/>
        <sz val="13"/>
        <color rgb="FF000000"/>
        <rFont val="WenQuanYi Zen Hei"/>
        <family val="2"/>
      </rPr>
      <t xml:space="preserve">保険料の支払カレンダー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現金ベース・円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</si>
  <si>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保険一覧の払込方法・保険料から月別に展開。月払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毎月、年払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加入日の月、払済</t>
    </r>
    <r>
      <rPr>
        <i val="true"/>
        <sz val="10"/>
        <color rgb="FF595959"/>
        <rFont val="Arial"/>
        <family val="0"/>
        <charset val="1"/>
      </rPr>
      <t xml:space="preserve">=0</t>
    </r>
    <r>
      <rPr>
        <i val="true"/>
        <sz val="10"/>
        <color rgb="FF595959"/>
        <rFont val="WenQuanYi Zen Hei"/>
        <family val="2"/>
      </rPr>
      <t xml:space="preserve">。支払停止年月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保険一覧の</t>
    </r>
    <r>
      <rPr>
        <i val="true"/>
        <sz val="10"/>
        <color rgb="FF595959"/>
        <rFont val="Arial"/>
        <family val="0"/>
        <charset val="1"/>
      </rPr>
      <t xml:space="preserve">S</t>
    </r>
    <r>
      <rPr>
        <i val="true"/>
        <sz val="10"/>
        <color rgb="FF595959"/>
        <rFont val="WenQuanYi Zen Hei"/>
        <family val="2"/>
      </rPr>
      <t xml:space="preserve">列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を入れるとその月以降は</t>
    </r>
    <r>
      <rPr>
        <i val="true"/>
        <sz val="10"/>
        <color rgb="FF595959"/>
        <rFont val="Arial"/>
        <family val="0"/>
        <charset val="1"/>
      </rPr>
      <t xml:space="preserve">0</t>
    </r>
    <r>
      <rPr>
        <i val="true"/>
        <sz val="10"/>
        <color rgb="FF595959"/>
        <rFont val="WenQuanYi Zen Hei"/>
        <family val="2"/>
      </rPr>
      <t xml:space="preserve">になります。</t>
    </r>
  </si>
  <si>
    <t xml:space="preserve">番号・保険会社・被保険者</t>
  </si>
  <si>
    <t xml:space="preserve">期間計</t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</si>
  <si>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年度計
</t>
    </r>
    <r>
      <rPr>
        <b val="true"/>
        <sz val="10"/>
        <color rgb="FFFFFFFF"/>
        <rFont val="Arial"/>
        <family val="0"/>
        <charset val="1"/>
      </rPr>
      <t xml:space="preserve">(R9/4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R10/3)</t>
    </r>
  </si>
  <si>
    <t xml:space="preserve">保険料 現金支払計</t>
  </si>
  <si>
    <r>
      <rPr>
        <i val="true"/>
        <sz val="10"/>
        <color rgb="FF595959"/>
        <rFont val="WenQuanYi Zen Hei"/>
        <family val="2"/>
      </rPr>
      <t xml:space="preserve">※令和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年度計は暦の令和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月〜令和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3</t>
    </r>
    <r>
      <rPr>
        <i val="true"/>
        <sz val="10"/>
        <color rgb="FF595959"/>
        <rFont val="WenQuanYi Zen Hei"/>
        <family val="2"/>
      </rPr>
      <t xml:space="preserve">月の合計。カレンダー範囲外の月は含まれません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初月は</t>
    </r>
    <r>
      <rPr>
        <i val="true"/>
        <sz val="10"/>
        <color rgb="FF595959"/>
        <rFont val="Arial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行目の黄色でなく先頭セルの日付で変更可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</si>
</sst>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yyyy/m/d"/>
    <numFmt numFmtId="167" formatCode="0%;\-0%;\-"/>
    <numFmt numFmtId="168" formatCode="#,##0;\(#,##0\);\-"/>
    <numFmt numFmtId="169" formatCode="#,##0"/>
    <numFmt numFmtId="170" formatCode="0.0%"/>
    <numFmt numFmtId="171" formatCode="yyyy/m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WenQuanYi Zen Hei"/>
      <family val="2"/>
    </font>
    <font>
      <b val="true"/>
      <sz val="13"/>
      <color rgb="FF000000"/>
      <name val="Arial"/>
      <family val="0"/>
      <charset val="1"/>
    </font>
    <font>
      <i val="true"/>
      <sz val="10"/>
      <color rgb="FF595959"/>
      <name val="WenQuanYi Zen Hei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595959"/>
      <name val="WenQuanYi Zen He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3" min="12" style="0" width="14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6"/>
    <col collapsed="false" customWidth="true" hidden="false" outlineLevel="0" max="19" min="18" style="0" width="12"/>
    <col collapsed="false" customWidth="true" hidden="false" outlineLevel="0" max="20" min="20" style="0" width="52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n">
        <v>1</v>
      </c>
      <c r="B5" s="5" t="s">
        <v>22</v>
      </c>
      <c r="C5" s="6" t="s">
        <v>23</v>
      </c>
      <c r="D5" s="7" t="n">
        <v>44765</v>
      </c>
      <c r="E5" s="5" t="s">
        <v>24</v>
      </c>
      <c r="F5" s="5" t="s">
        <v>25</v>
      </c>
      <c r="G5" s="8" t="n">
        <v>0</v>
      </c>
      <c r="H5" s="5" t="s">
        <v>26</v>
      </c>
      <c r="I5" s="6" t="s">
        <v>27</v>
      </c>
      <c r="J5" s="5" t="s">
        <v>28</v>
      </c>
      <c r="K5" s="9" t="n">
        <v>0</v>
      </c>
      <c r="L5" s="10" t="n">
        <f aca="false">IF(J5="月払",K5*12,IF(J5="年払",K5,0))</f>
        <v>0</v>
      </c>
      <c r="M5" s="10" t="n">
        <f aca="false">L5*G5</f>
        <v>0</v>
      </c>
      <c r="N5" s="6" t="s">
        <v>29</v>
      </c>
      <c r="O5" s="11" t="n">
        <v>165</v>
      </c>
      <c r="P5" s="12" t="n">
        <v>0.432</v>
      </c>
      <c r="Q5" s="5" t="s">
        <v>30</v>
      </c>
      <c r="R5" s="4" t="str">
        <f aca="false">IF(J5="年払",MONTH(D5),"")</f>
        <v/>
      </c>
      <c r="S5" s="13"/>
      <c r="T5" s="14"/>
    </row>
    <row r="6" customFormat="false" ht="15" hidden="false" customHeight="false" outlineLevel="0" collapsed="false">
      <c r="A6" s="4" t="n">
        <v>2</v>
      </c>
      <c r="B6" s="5" t="s">
        <v>22</v>
      </c>
      <c r="C6" s="6" t="s">
        <v>31</v>
      </c>
      <c r="D6" s="7" t="n">
        <v>44765</v>
      </c>
      <c r="E6" s="5" t="s">
        <v>24</v>
      </c>
      <c r="F6" s="5" t="s">
        <v>25</v>
      </c>
      <c r="G6" s="8" t="n">
        <v>0</v>
      </c>
      <c r="H6" s="5" t="s">
        <v>32</v>
      </c>
      <c r="I6" s="6" t="s">
        <v>27</v>
      </c>
      <c r="J6" s="5" t="s">
        <v>28</v>
      </c>
      <c r="K6" s="9" t="n">
        <v>0</v>
      </c>
      <c r="L6" s="10" t="n">
        <f aca="false">IF(J6="月払",K6*12,IF(J6="年払",K6,0))</f>
        <v>0</v>
      </c>
      <c r="M6" s="10" t="n">
        <f aca="false">L6*G6</f>
        <v>0</v>
      </c>
      <c r="N6" s="6" t="s">
        <v>33</v>
      </c>
      <c r="O6" s="11" t="n">
        <v>266</v>
      </c>
      <c r="P6" s="12" t="n">
        <v>0.458</v>
      </c>
      <c r="Q6" s="5" t="s">
        <v>30</v>
      </c>
      <c r="R6" s="4" t="str">
        <f aca="false">IF(J6="年払",MONTH(D6),"")</f>
        <v/>
      </c>
      <c r="S6" s="13"/>
      <c r="T6" s="14"/>
    </row>
    <row r="7" customFormat="false" ht="15" hidden="false" customHeight="false" outlineLevel="0" collapsed="false">
      <c r="A7" s="4" t="n">
        <v>3</v>
      </c>
      <c r="B7" s="5" t="s">
        <v>22</v>
      </c>
      <c r="C7" s="6" t="s">
        <v>34</v>
      </c>
      <c r="D7" s="7" t="n">
        <v>44765</v>
      </c>
      <c r="E7" s="5" t="s">
        <v>24</v>
      </c>
      <c r="F7" s="5" t="s">
        <v>25</v>
      </c>
      <c r="G7" s="8" t="n">
        <v>0</v>
      </c>
      <c r="H7" s="5" t="s">
        <v>35</v>
      </c>
      <c r="I7" s="6" t="s">
        <v>27</v>
      </c>
      <c r="J7" s="5" t="s">
        <v>28</v>
      </c>
      <c r="K7" s="9" t="n">
        <v>0</v>
      </c>
      <c r="L7" s="10" t="n">
        <f aca="false">IF(J7="月払",K7*12,IF(J7="年払",K7,0))</f>
        <v>0</v>
      </c>
      <c r="M7" s="10" t="n">
        <f aca="false">L7*G7</f>
        <v>0</v>
      </c>
      <c r="N7" s="6" t="s">
        <v>36</v>
      </c>
      <c r="O7" s="11" t="n">
        <v>433</v>
      </c>
      <c r="P7" s="12" t="n">
        <v>0.528</v>
      </c>
      <c r="Q7" s="6" t="s">
        <v>37</v>
      </c>
      <c r="R7" s="4" t="str">
        <f aca="false">IF(J7="年払",MONTH(D7),"")</f>
        <v/>
      </c>
      <c r="S7" s="13"/>
      <c r="T7" s="14"/>
    </row>
    <row r="8" customFormat="false" ht="15" hidden="false" customHeight="false" outlineLevel="0" collapsed="false">
      <c r="A8" s="4" t="n">
        <v>4</v>
      </c>
      <c r="B8" s="5" t="s">
        <v>22</v>
      </c>
      <c r="C8" s="6" t="s">
        <v>38</v>
      </c>
      <c r="D8" s="7" t="n">
        <v>44765</v>
      </c>
      <c r="E8" s="5" t="s">
        <v>24</v>
      </c>
      <c r="F8" s="5" t="s">
        <v>25</v>
      </c>
      <c r="G8" s="8" t="n">
        <v>0</v>
      </c>
      <c r="H8" s="5" t="s">
        <v>39</v>
      </c>
      <c r="I8" s="6" t="s">
        <v>27</v>
      </c>
      <c r="J8" s="5" t="s">
        <v>28</v>
      </c>
      <c r="K8" s="9" t="n">
        <v>0</v>
      </c>
      <c r="L8" s="10" t="n">
        <f aca="false">IF(J8="月払",K8*12,IF(J8="年払",K8,0))</f>
        <v>0</v>
      </c>
      <c r="M8" s="10" t="n">
        <f aca="false">L8*G8</f>
        <v>0</v>
      </c>
      <c r="N8" s="6" t="s">
        <v>40</v>
      </c>
      <c r="O8" s="11" t="n">
        <v>241</v>
      </c>
      <c r="P8" s="12" t="n">
        <v>0.449</v>
      </c>
      <c r="Q8" s="6" t="s">
        <v>41</v>
      </c>
      <c r="R8" s="4" t="str">
        <f aca="false">IF(J8="年払",MONTH(D8),"")</f>
        <v/>
      </c>
      <c r="S8" s="13"/>
      <c r="T8" s="14"/>
    </row>
    <row r="9" customFormat="false" ht="15" hidden="false" customHeight="false" outlineLevel="0" collapsed="false">
      <c r="A9" s="4" t="n">
        <v>5</v>
      </c>
      <c r="B9" s="5" t="s">
        <v>22</v>
      </c>
      <c r="C9" s="6" t="s">
        <v>42</v>
      </c>
      <c r="D9" s="7" t="n">
        <v>44166</v>
      </c>
      <c r="E9" s="5" t="s">
        <v>24</v>
      </c>
      <c r="F9" s="5" t="s">
        <v>43</v>
      </c>
      <c r="G9" s="8" t="n">
        <v>1</v>
      </c>
      <c r="H9" s="5" t="s">
        <v>44</v>
      </c>
      <c r="I9" s="5" t="s">
        <v>45</v>
      </c>
      <c r="J9" s="5" t="s">
        <v>46</v>
      </c>
      <c r="K9" s="9" t="n">
        <v>22820</v>
      </c>
      <c r="L9" s="10" t="n">
        <f aca="false">IF(J9="月払",K9*12,IF(J9="年払",K9,0))</f>
        <v>273840</v>
      </c>
      <c r="M9" s="10" t="n">
        <f aca="false">L9*G9</f>
        <v>273840</v>
      </c>
      <c r="N9" s="5" t="s">
        <v>47</v>
      </c>
      <c r="O9" s="11"/>
      <c r="P9" s="12"/>
      <c r="Q9" s="5" t="s">
        <v>48</v>
      </c>
      <c r="R9" s="4" t="str">
        <f aca="false">IF(J9="年払",MONTH(D9),"")</f>
        <v/>
      </c>
      <c r="S9" s="13"/>
      <c r="T9" s="15" t="s">
        <v>49</v>
      </c>
    </row>
    <row r="10" customFormat="false" ht="15" hidden="false" customHeight="false" outlineLevel="0" collapsed="false">
      <c r="A10" s="4" t="n">
        <v>6</v>
      </c>
      <c r="B10" s="5" t="s">
        <v>22</v>
      </c>
      <c r="C10" s="6" t="s">
        <v>50</v>
      </c>
      <c r="D10" s="7" t="n">
        <v>44348</v>
      </c>
      <c r="E10" s="5" t="s">
        <v>24</v>
      </c>
      <c r="F10" s="5" t="s">
        <v>25</v>
      </c>
      <c r="G10" s="8" t="n">
        <v>1</v>
      </c>
      <c r="H10" s="5" t="s">
        <v>51</v>
      </c>
      <c r="I10" s="5" t="s">
        <v>52</v>
      </c>
      <c r="J10" s="5" t="s">
        <v>46</v>
      </c>
      <c r="K10" s="9" t="n">
        <v>49130</v>
      </c>
      <c r="L10" s="10" t="n">
        <f aca="false">IF(J10="月払",K10*12,IF(J10="年払",K10,0))</f>
        <v>589560</v>
      </c>
      <c r="M10" s="10" t="n">
        <f aca="false">L10*G10</f>
        <v>589560</v>
      </c>
      <c r="N10" s="6" t="s">
        <v>53</v>
      </c>
      <c r="O10" s="11" t="n">
        <v>131</v>
      </c>
      <c r="P10" s="12" t="n">
        <v>0.4</v>
      </c>
      <c r="Q10" s="5" t="s">
        <v>48</v>
      </c>
      <c r="R10" s="4" t="str">
        <f aca="false">IF(J10="年払",MONTH(D10),"")</f>
        <v/>
      </c>
      <c r="S10" s="13"/>
      <c r="T10" s="14"/>
    </row>
    <row r="11" customFormat="false" ht="15" hidden="false" customHeight="false" outlineLevel="0" collapsed="false">
      <c r="A11" s="4" t="n">
        <v>7</v>
      </c>
      <c r="B11" s="5" t="s">
        <v>22</v>
      </c>
      <c r="C11" s="6" t="s">
        <v>54</v>
      </c>
      <c r="D11" s="7" t="n">
        <v>44166</v>
      </c>
      <c r="E11" s="5" t="s">
        <v>24</v>
      </c>
      <c r="F11" s="6" t="s">
        <v>55</v>
      </c>
      <c r="G11" s="8" t="n">
        <v>0.6</v>
      </c>
      <c r="H11" s="5" t="s">
        <v>44</v>
      </c>
      <c r="I11" s="5" t="s">
        <v>56</v>
      </c>
      <c r="J11" s="5" t="s">
        <v>46</v>
      </c>
      <c r="K11" s="9" t="n">
        <v>505120</v>
      </c>
      <c r="L11" s="10" t="n">
        <f aca="false">IF(J11="月払",K11*12,IF(J11="年払",K11,0))</f>
        <v>6061440</v>
      </c>
      <c r="M11" s="10" t="n">
        <f aca="false">L11*G11</f>
        <v>3636864</v>
      </c>
      <c r="N11" s="6" t="s">
        <v>57</v>
      </c>
      <c r="O11" s="11" t="n">
        <v>2247</v>
      </c>
      <c r="P11" s="12" t="n">
        <v>0.688</v>
      </c>
      <c r="Q11" s="6" t="s">
        <v>37</v>
      </c>
      <c r="R11" s="4" t="str">
        <f aca="false">IF(J11="年払",MONTH(D11),"")</f>
        <v/>
      </c>
      <c r="S11" s="13"/>
      <c r="T11" s="14"/>
    </row>
    <row r="12" customFormat="false" ht="15" hidden="false" customHeight="false" outlineLevel="0" collapsed="false">
      <c r="A12" s="4" t="n">
        <v>8</v>
      </c>
      <c r="B12" s="5" t="s">
        <v>22</v>
      </c>
      <c r="C12" s="6" t="s">
        <v>58</v>
      </c>
      <c r="D12" s="7" t="n">
        <v>44531</v>
      </c>
      <c r="E12" s="5" t="s">
        <v>24</v>
      </c>
      <c r="F12" s="6" t="s">
        <v>55</v>
      </c>
      <c r="G12" s="8" t="n">
        <v>0.6</v>
      </c>
      <c r="H12" s="5" t="s">
        <v>51</v>
      </c>
      <c r="I12" s="6" t="s">
        <v>27</v>
      </c>
      <c r="J12" s="5" t="s">
        <v>46</v>
      </c>
      <c r="K12" s="9" t="n">
        <v>57687</v>
      </c>
      <c r="L12" s="10" t="n">
        <f aca="false">IF(J12="月払",K12*12,IF(J12="年払",K12,0))</f>
        <v>692244</v>
      </c>
      <c r="M12" s="10" t="n">
        <f aca="false">L12*G12</f>
        <v>415346.4</v>
      </c>
      <c r="N12" s="6" t="s">
        <v>59</v>
      </c>
      <c r="O12" s="11" t="n">
        <v>196</v>
      </c>
      <c r="P12" s="12" t="n">
        <v>0.688</v>
      </c>
      <c r="Q12" s="5" t="s">
        <v>48</v>
      </c>
      <c r="R12" s="4" t="str">
        <f aca="false">IF(J12="年払",MONTH(D12),"")</f>
        <v/>
      </c>
      <c r="S12" s="13"/>
      <c r="T12" s="14"/>
    </row>
    <row r="13" customFormat="false" ht="15" hidden="false" customHeight="false" outlineLevel="0" collapsed="false">
      <c r="A13" s="4" t="n">
        <v>9</v>
      </c>
      <c r="B13" s="5" t="s">
        <v>22</v>
      </c>
      <c r="C13" s="6" t="s">
        <v>60</v>
      </c>
      <c r="D13" s="7" t="n">
        <v>44531</v>
      </c>
      <c r="E13" s="5" t="s">
        <v>24</v>
      </c>
      <c r="F13" s="6" t="s">
        <v>55</v>
      </c>
      <c r="G13" s="8" t="n">
        <v>0.6</v>
      </c>
      <c r="H13" s="5" t="s">
        <v>61</v>
      </c>
      <c r="I13" s="5" t="s">
        <v>52</v>
      </c>
      <c r="J13" s="5" t="s">
        <v>46</v>
      </c>
      <c r="K13" s="9" t="n">
        <v>179573</v>
      </c>
      <c r="L13" s="10" t="n">
        <f aca="false">IF(J13="月払",K13*12,IF(J13="年払",K13,0))</f>
        <v>2154876</v>
      </c>
      <c r="M13" s="10" t="n">
        <f aca="false">L13*G13</f>
        <v>1292925.6</v>
      </c>
      <c r="N13" s="6" t="s">
        <v>57</v>
      </c>
      <c r="O13" s="11" t="n">
        <v>654</v>
      </c>
      <c r="P13" s="12" t="n">
        <v>0.675</v>
      </c>
      <c r="Q13" s="6" t="s">
        <v>37</v>
      </c>
      <c r="R13" s="4" t="str">
        <f aca="false">IF(J13="年払",MONTH(D13),"")</f>
        <v/>
      </c>
      <c r="S13" s="13"/>
      <c r="T13" s="14"/>
    </row>
    <row r="14" customFormat="false" ht="15" hidden="false" customHeight="false" outlineLevel="0" collapsed="false">
      <c r="A14" s="4" t="n">
        <v>10</v>
      </c>
      <c r="B14" s="5" t="s">
        <v>22</v>
      </c>
      <c r="C14" s="6" t="s">
        <v>62</v>
      </c>
      <c r="D14" s="7" t="n">
        <v>44531</v>
      </c>
      <c r="E14" s="5" t="s">
        <v>24</v>
      </c>
      <c r="F14" s="6" t="s">
        <v>55</v>
      </c>
      <c r="G14" s="8" t="n">
        <v>0.6</v>
      </c>
      <c r="H14" s="5" t="s">
        <v>61</v>
      </c>
      <c r="I14" s="5" t="s">
        <v>63</v>
      </c>
      <c r="J14" s="5" t="s">
        <v>46</v>
      </c>
      <c r="K14" s="9" t="n">
        <v>49628</v>
      </c>
      <c r="L14" s="10" t="n">
        <f aca="false">IF(J14="月払",K14*12,IF(J14="年払",K14,0))</f>
        <v>595536</v>
      </c>
      <c r="M14" s="10" t="n">
        <f aca="false">L14*G14</f>
        <v>357321.6</v>
      </c>
      <c r="N14" s="6" t="s">
        <v>64</v>
      </c>
      <c r="O14" s="11" t="n">
        <v>456</v>
      </c>
      <c r="P14" s="12" t="n">
        <v>0.646</v>
      </c>
      <c r="Q14" s="5" t="s">
        <v>48</v>
      </c>
      <c r="R14" s="4" t="str">
        <f aca="false">IF(J14="年払",MONTH(D14),"")</f>
        <v/>
      </c>
      <c r="S14" s="13"/>
      <c r="T14" s="14"/>
    </row>
    <row r="15" customFormat="false" ht="15" hidden="false" customHeight="false" outlineLevel="0" collapsed="false">
      <c r="A15" s="4" t="n">
        <v>11</v>
      </c>
      <c r="B15" s="5" t="s">
        <v>22</v>
      </c>
      <c r="C15" s="6" t="s">
        <v>65</v>
      </c>
      <c r="D15" s="7" t="n">
        <v>44733</v>
      </c>
      <c r="E15" s="5" t="s">
        <v>24</v>
      </c>
      <c r="F15" s="5" t="s">
        <v>25</v>
      </c>
      <c r="G15" s="8" t="n">
        <v>1</v>
      </c>
      <c r="H15" s="5" t="s">
        <v>44</v>
      </c>
      <c r="I15" s="6" t="s">
        <v>27</v>
      </c>
      <c r="J15" s="5" t="s">
        <v>66</v>
      </c>
      <c r="K15" s="9" t="n">
        <v>5698547</v>
      </c>
      <c r="L15" s="10" t="n">
        <f aca="false">IF(J15="月払",K15*12,IF(J15="年払",K15,0))</f>
        <v>5698547</v>
      </c>
      <c r="M15" s="10" t="n">
        <f aca="false">L15*G15</f>
        <v>5698547</v>
      </c>
      <c r="N15" s="6" t="s">
        <v>57</v>
      </c>
      <c r="O15" s="11" t="n">
        <v>1138</v>
      </c>
      <c r="P15" s="12" t="n">
        <v>0.5</v>
      </c>
      <c r="Q15" s="6" t="s">
        <v>67</v>
      </c>
      <c r="R15" s="4" t="n">
        <f aca="false">IF(J15="年払",MONTH(D15),"")</f>
        <v>6</v>
      </c>
      <c r="S15" s="13"/>
      <c r="T15" s="14"/>
    </row>
    <row r="16" customFormat="false" ht="15" hidden="false" customHeight="false" outlineLevel="0" collapsed="false">
      <c r="A16" s="4" t="n">
        <v>12</v>
      </c>
      <c r="B16" s="5" t="s">
        <v>22</v>
      </c>
      <c r="C16" s="6" t="s">
        <v>68</v>
      </c>
      <c r="D16" s="7" t="n">
        <v>44765</v>
      </c>
      <c r="E16" s="5" t="s">
        <v>24</v>
      </c>
      <c r="F16" s="5" t="s">
        <v>25</v>
      </c>
      <c r="G16" s="8" t="n">
        <v>1</v>
      </c>
      <c r="H16" s="5" t="s">
        <v>69</v>
      </c>
      <c r="I16" s="6" t="s">
        <v>27</v>
      </c>
      <c r="J16" s="5" t="s">
        <v>66</v>
      </c>
      <c r="K16" s="9" t="n">
        <v>1707660</v>
      </c>
      <c r="L16" s="10" t="n">
        <f aca="false">IF(J16="月払",K16*12,IF(J16="年払",K16,0))</f>
        <v>1707660</v>
      </c>
      <c r="M16" s="10" t="n">
        <f aca="false">L16*G16</f>
        <v>1707660</v>
      </c>
      <c r="N16" s="6" t="s">
        <v>70</v>
      </c>
      <c r="O16" s="11" t="n">
        <v>309</v>
      </c>
      <c r="P16" s="12" t="n">
        <v>0.464</v>
      </c>
      <c r="Q16" s="6" t="s">
        <v>41</v>
      </c>
      <c r="R16" s="4" t="n">
        <f aca="false">IF(J16="年払",MONTH(D16),"")</f>
        <v>7</v>
      </c>
      <c r="S16" s="13"/>
      <c r="T16" s="14"/>
    </row>
    <row r="17" customFormat="false" ht="15" hidden="false" customHeight="false" outlineLevel="0" collapsed="false">
      <c r="A17" s="4" t="n">
        <v>13</v>
      </c>
      <c r="B17" s="5" t="s">
        <v>71</v>
      </c>
      <c r="C17" s="5"/>
      <c r="D17" s="7" t="n">
        <v>44739</v>
      </c>
      <c r="E17" s="5" t="s">
        <v>24</v>
      </c>
      <c r="F17" s="6" t="s">
        <v>72</v>
      </c>
      <c r="G17" s="8" t="n">
        <v>0.4</v>
      </c>
      <c r="H17" s="5" t="s">
        <v>73</v>
      </c>
      <c r="I17" s="6" t="s">
        <v>74</v>
      </c>
      <c r="J17" s="5" t="s">
        <v>66</v>
      </c>
      <c r="K17" s="9" t="n">
        <v>3027080</v>
      </c>
      <c r="L17" s="10" t="n">
        <f aca="false">IF(J17="月払",K17*12,IF(J17="年払",K17,0))</f>
        <v>3027080</v>
      </c>
      <c r="M17" s="10" t="n">
        <f aca="false">L17*G17</f>
        <v>1210832</v>
      </c>
      <c r="N17" s="6" t="s">
        <v>75</v>
      </c>
      <c r="O17" s="11" t="n">
        <v>1250</v>
      </c>
      <c r="P17" s="12" t="n">
        <v>0.826</v>
      </c>
      <c r="Q17" s="5" t="s">
        <v>48</v>
      </c>
      <c r="R17" s="4" t="n">
        <f aca="false">IF(J17="年払",MONTH(D17),"")</f>
        <v>6</v>
      </c>
      <c r="S17" s="13"/>
      <c r="T17" s="15" t="s">
        <v>76</v>
      </c>
    </row>
    <row r="18" customFormat="false" ht="15" hidden="false" customHeight="false" outlineLevel="0" collapsed="false">
      <c r="A18" s="4" t="n">
        <v>14</v>
      </c>
      <c r="B18" s="5" t="s">
        <v>71</v>
      </c>
      <c r="C18" s="5"/>
      <c r="D18" s="7" t="n">
        <v>44832</v>
      </c>
      <c r="E18" s="5" t="s">
        <v>24</v>
      </c>
      <c r="F18" s="6" t="s">
        <v>72</v>
      </c>
      <c r="G18" s="8" t="n">
        <v>0.4</v>
      </c>
      <c r="H18" s="5" t="s">
        <v>73</v>
      </c>
      <c r="I18" s="6" t="s">
        <v>74</v>
      </c>
      <c r="J18" s="5" t="s">
        <v>66</v>
      </c>
      <c r="K18" s="9" t="n">
        <v>4973060</v>
      </c>
      <c r="L18" s="10" t="n">
        <f aca="false">IF(J18="月払",K18*12,IF(J18="年払",K18,0))</f>
        <v>4973060</v>
      </c>
      <c r="M18" s="10" t="n">
        <f aca="false">L18*G18</f>
        <v>1989224</v>
      </c>
      <c r="N18" s="6" t="s">
        <v>77</v>
      </c>
      <c r="O18" s="11" t="n">
        <v>1654</v>
      </c>
      <c r="P18" s="12" t="n">
        <v>0.831</v>
      </c>
      <c r="Q18" s="5" t="s">
        <v>48</v>
      </c>
      <c r="R18" s="4" t="n">
        <f aca="false">IF(J18="年払",MONTH(D18),"")</f>
        <v>9</v>
      </c>
      <c r="S18" s="13"/>
      <c r="T18" s="15" t="s">
        <v>78</v>
      </c>
    </row>
    <row r="19" customFormat="false" ht="15" hidden="false" customHeight="false" outlineLevel="0" collapsed="false">
      <c r="A19" s="4" t="n">
        <v>15</v>
      </c>
      <c r="B19" s="5" t="s">
        <v>71</v>
      </c>
      <c r="C19" s="5"/>
      <c r="D19" s="7" t="n">
        <v>45097</v>
      </c>
      <c r="E19" s="5" t="s">
        <v>24</v>
      </c>
      <c r="F19" s="6" t="s">
        <v>72</v>
      </c>
      <c r="G19" s="8" t="n">
        <v>0.4</v>
      </c>
      <c r="H19" s="5" t="s">
        <v>32</v>
      </c>
      <c r="I19" s="6" t="s">
        <v>79</v>
      </c>
      <c r="J19" s="5" t="s">
        <v>66</v>
      </c>
      <c r="K19" s="9" t="n">
        <v>3014812</v>
      </c>
      <c r="L19" s="10" t="n">
        <f aca="false">IF(J19="月払",K19*12,IF(J19="年払",K19,0))</f>
        <v>3014812</v>
      </c>
      <c r="M19" s="10" t="n">
        <f aca="false">L19*G19</f>
        <v>1205924.8</v>
      </c>
      <c r="N19" s="6" t="s">
        <v>80</v>
      </c>
      <c r="O19" s="11" t="n">
        <v>714</v>
      </c>
      <c r="P19" s="12" t="n">
        <v>0.789</v>
      </c>
      <c r="Q19" s="5" t="s">
        <v>48</v>
      </c>
      <c r="R19" s="4" t="n">
        <f aca="false">IF(J19="年払",MONTH(D19),"")</f>
        <v>6</v>
      </c>
      <c r="S19" s="13"/>
      <c r="T19" s="15" t="s">
        <v>76</v>
      </c>
    </row>
    <row r="20" customFormat="false" ht="15" hidden="false" customHeight="false" outlineLevel="0" collapsed="false">
      <c r="A20" s="4" t="n">
        <v>16</v>
      </c>
      <c r="B20" s="5" t="s">
        <v>71</v>
      </c>
      <c r="C20" s="5"/>
      <c r="D20" s="7" t="n">
        <v>45191</v>
      </c>
      <c r="E20" s="5" t="s">
        <v>24</v>
      </c>
      <c r="F20" s="6" t="s">
        <v>72</v>
      </c>
      <c r="G20" s="8" t="n">
        <v>0.4</v>
      </c>
      <c r="H20" s="5" t="s">
        <v>32</v>
      </c>
      <c r="I20" s="6" t="s">
        <v>79</v>
      </c>
      <c r="J20" s="5" t="s">
        <v>66</v>
      </c>
      <c r="K20" s="9" t="n">
        <v>3014812</v>
      </c>
      <c r="L20" s="10" t="n">
        <f aca="false">IF(J20="月払",K20*12,IF(J20="年払",K20,0))</f>
        <v>3014812</v>
      </c>
      <c r="M20" s="10" t="n">
        <f aca="false">L20*G20</f>
        <v>1205924.8</v>
      </c>
      <c r="N20" s="6" t="s">
        <v>80</v>
      </c>
      <c r="O20" s="11" t="n">
        <v>451</v>
      </c>
      <c r="P20" s="12" t="n">
        <v>0.748</v>
      </c>
      <c r="Q20" s="5" t="s">
        <v>48</v>
      </c>
      <c r="R20" s="4" t="n">
        <f aca="false">IF(J20="年払",MONTH(D20),"")</f>
        <v>9</v>
      </c>
      <c r="S20" s="13"/>
      <c r="T20" s="15" t="s">
        <v>76</v>
      </c>
    </row>
    <row r="21" customFormat="false" ht="15" hidden="false" customHeight="false" outlineLevel="0" collapsed="false">
      <c r="A21" s="4" t="n">
        <v>17</v>
      </c>
      <c r="B21" s="5" t="s">
        <v>81</v>
      </c>
      <c r="C21" s="5"/>
      <c r="D21" s="7" t="n">
        <v>44092</v>
      </c>
      <c r="E21" s="5" t="s">
        <v>24</v>
      </c>
      <c r="F21" s="5" t="s">
        <v>82</v>
      </c>
      <c r="G21" s="8" t="n">
        <v>0.5</v>
      </c>
      <c r="H21" s="5" t="s">
        <v>44</v>
      </c>
      <c r="I21" s="6" t="s">
        <v>83</v>
      </c>
      <c r="J21" s="5" t="s">
        <v>66</v>
      </c>
      <c r="K21" s="9" t="n">
        <v>769825</v>
      </c>
      <c r="L21" s="10" t="n">
        <f aca="false">IF(J21="月払",K21*12,IF(J21="年払",K21,0))</f>
        <v>769825</v>
      </c>
      <c r="M21" s="10" t="n">
        <f aca="false">L21*G21</f>
        <v>384912.5</v>
      </c>
      <c r="N21" s="6" t="s">
        <v>84</v>
      </c>
      <c r="O21" s="11" t="n">
        <v>461</v>
      </c>
      <c r="P21" s="12" t="n">
        <v>0.881</v>
      </c>
      <c r="Q21" s="6" t="s">
        <v>85</v>
      </c>
      <c r="R21" s="4" t="n">
        <f aca="false">IF(J21="年払",MONTH(D21),"")</f>
        <v>9</v>
      </c>
      <c r="S21" s="13"/>
      <c r="T21" s="15" t="s">
        <v>76</v>
      </c>
    </row>
    <row r="22" customFormat="false" ht="15" hidden="false" customHeight="false" outlineLevel="0" collapsed="false">
      <c r="A22" s="4" t="n">
        <v>18</v>
      </c>
      <c r="B22" s="5" t="s">
        <v>81</v>
      </c>
      <c r="C22" s="5"/>
      <c r="D22" s="7" t="n">
        <v>44090</v>
      </c>
      <c r="E22" s="5" t="s">
        <v>24</v>
      </c>
      <c r="F22" s="5" t="s">
        <v>82</v>
      </c>
      <c r="G22" s="8" t="n">
        <v>0.5</v>
      </c>
      <c r="H22" s="5" t="s">
        <v>51</v>
      </c>
      <c r="I22" s="6" t="s">
        <v>86</v>
      </c>
      <c r="J22" s="5" t="s">
        <v>66</v>
      </c>
      <c r="K22" s="9" t="n">
        <v>746963</v>
      </c>
      <c r="L22" s="10" t="n">
        <f aca="false">IF(J22="月払",K22*12,IF(J22="年払",K22,0))</f>
        <v>746963</v>
      </c>
      <c r="M22" s="10" t="n">
        <f aca="false">L22*G22</f>
        <v>373481.5</v>
      </c>
      <c r="N22" s="6" t="s">
        <v>84</v>
      </c>
      <c r="O22" s="11" t="n">
        <v>411</v>
      </c>
      <c r="P22" s="12" t="n">
        <v>0.917</v>
      </c>
      <c r="Q22" s="6" t="s">
        <v>85</v>
      </c>
      <c r="R22" s="4" t="n">
        <f aca="false">IF(J22="年払",MONTH(D22),"")</f>
        <v>9</v>
      </c>
      <c r="S22" s="13"/>
      <c r="T22" s="15" t="s">
        <v>76</v>
      </c>
    </row>
    <row r="23" customFormat="false" ht="15" hidden="false" customHeight="false" outlineLevel="0" collapsed="false">
      <c r="A23" s="4" t="n">
        <v>19</v>
      </c>
      <c r="B23" s="5" t="s">
        <v>22</v>
      </c>
      <c r="C23" s="5"/>
      <c r="D23" s="7" t="n">
        <v>41821</v>
      </c>
      <c r="E23" s="5" t="s">
        <v>24</v>
      </c>
      <c r="F23" s="5" t="s">
        <v>43</v>
      </c>
      <c r="G23" s="8" t="n">
        <v>0</v>
      </c>
      <c r="H23" s="5" t="s">
        <v>61</v>
      </c>
      <c r="I23" s="6" t="s">
        <v>87</v>
      </c>
      <c r="J23" s="5" t="s">
        <v>28</v>
      </c>
      <c r="K23" s="9" t="n">
        <v>0</v>
      </c>
      <c r="L23" s="10" t="n">
        <f aca="false">IF(J23="月払",K23*12,IF(J23="年払",K23,0))</f>
        <v>0</v>
      </c>
      <c r="M23" s="10" t="n">
        <f aca="false">L23*G23</f>
        <v>0</v>
      </c>
      <c r="N23" s="6" t="s">
        <v>88</v>
      </c>
      <c r="O23" s="11" t="n">
        <v>591</v>
      </c>
      <c r="P23" s="12" t="n">
        <v>0.687</v>
      </c>
      <c r="Q23" s="5"/>
      <c r="R23" s="4" t="str">
        <f aca="false">IF(J23="年払",MONTH(D23),"")</f>
        <v/>
      </c>
      <c r="S23" s="13"/>
      <c r="T23" s="15" t="s">
        <v>89</v>
      </c>
    </row>
    <row r="24" customFormat="false" ht="15" hidden="false" customHeight="false" outlineLevel="0" collapsed="false">
      <c r="A24" s="4" t="n">
        <v>20</v>
      </c>
      <c r="B24" s="5" t="s">
        <v>22</v>
      </c>
      <c r="C24" s="5"/>
      <c r="D24" s="7" t="n">
        <v>41821</v>
      </c>
      <c r="E24" s="5" t="s">
        <v>24</v>
      </c>
      <c r="F24" s="5" t="s">
        <v>25</v>
      </c>
      <c r="G24" s="8" t="n">
        <v>1</v>
      </c>
      <c r="H24" s="5" t="s">
        <v>61</v>
      </c>
      <c r="I24" s="6" t="s">
        <v>87</v>
      </c>
      <c r="J24" s="5" t="s">
        <v>46</v>
      </c>
      <c r="K24" s="9" t="n">
        <v>28900</v>
      </c>
      <c r="L24" s="10" t="n">
        <f aca="false">IF(J24="月払",K24*12,IF(J24="年払",K24,0))</f>
        <v>346800</v>
      </c>
      <c r="M24" s="10" t="n">
        <f aca="false">L24*G24</f>
        <v>346800</v>
      </c>
      <c r="N24" s="6" t="s">
        <v>57</v>
      </c>
      <c r="O24" s="11" t="n">
        <v>289</v>
      </c>
      <c r="P24" s="12" t="n">
        <v>0.667</v>
      </c>
      <c r="Q24" s="5"/>
      <c r="R24" s="4" t="str">
        <f aca="false">IF(J24="年払",MONTH(D24),"")</f>
        <v/>
      </c>
      <c r="S24" s="13"/>
      <c r="T24" s="15" t="s">
        <v>90</v>
      </c>
    </row>
    <row r="25" customFormat="false" ht="15" hidden="false" customHeight="false" outlineLevel="0" collapsed="false">
      <c r="A25" s="16" t="s">
        <v>91</v>
      </c>
      <c r="B25" s="17"/>
      <c r="C25" s="17"/>
      <c r="D25" s="17"/>
      <c r="E25" s="17"/>
      <c r="F25" s="17"/>
      <c r="G25" s="17"/>
      <c r="H25" s="17"/>
      <c r="I25" s="17"/>
      <c r="J25" s="17"/>
      <c r="K25" s="18" t="n">
        <f aca="false">SUMIFS(K5:K24,J5:J24,"月払")</f>
        <v>892858</v>
      </c>
      <c r="L25" s="18" t="n">
        <f aca="false">SUM(L5:L24)</f>
        <v>33667055</v>
      </c>
      <c r="M25" s="18" t="n">
        <f aca="false">SUM(M5:M24)</f>
        <v>20689164.2</v>
      </c>
      <c r="N25" s="17"/>
      <c r="O25" s="19" t="n">
        <f aca="false">SUM(O5:O24)</f>
        <v>12057</v>
      </c>
      <c r="P25" s="17"/>
      <c r="Q25" s="17"/>
      <c r="R25" s="17"/>
      <c r="S25" s="17"/>
      <c r="T25" s="20" t="s">
        <v>92</v>
      </c>
    </row>
    <row r="27" customFormat="false" ht="15" hidden="false" customHeight="false" outlineLevel="0" collapsed="false">
      <c r="A27" s="21" t="s">
        <v>93</v>
      </c>
    </row>
    <row r="28" customFormat="false" ht="15" hidden="false" customHeight="false" outlineLevel="0" collapsed="false">
      <c r="A28" s="22" t="s">
        <v>94</v>
      </c>
      <c r="B28" s="22"/>
      <c r="C28" s="22"/>
      <c r="D28" s="22"/>
      <c r="E28" s="23" t="n">
        <f aca="false">SUMIFS(K5:K24,J5:J24,"月払")</f>
        <v>892858</v>
      </c>
    </row>
    <row r="29" customFormat="false" ht="15" hidden="false" customHeight="false" outlineLevel="0" collapsed="false">
      <c r="A29" s="22" t="s">
        <v>95</v>
      </c>
      <c r="B29" s="22"/>
      <c r="C29" s="22"/>
      <c r="D29" s="22"/>
      <c r="E29" s="23" t="n">
        <f aca="false">SUMIFS(L5:L24,J5:J24,"年払")</f>
        <v>22952759</v>
      </c>
    </row>
    <row r="30" customFormat="false" ht="15" hidden="false" customHeight="false" outlineLevel="0" collapsed="false">
      <c r="A30" s="22" t="s">
        <v>96</v>
      </c>
      <c r="B30" s="22"/>
      <c r="C30" s="22"/>
      <c r="D30" s="22"/>
      <c r="E30" s="23" t="n">
        <f aca="false">L25</f>
        <v>33667055</v>
      </c>
    </row>
    <row r="31" customFormat="false" ht="15" hidden="false" customHeight="false" outlineLevel="0" collapsed="false">
      <c r="A31" s="22" t="s">
        <v>97</v>
      </c>
      <c r="B31" s="22"/>
      <c r="C31" s="22"/>
      <c r="D31" s="22"/>
      <c r="E31" s="23" t="n">
        <f aca="false">M25</f>
        <v>20689164.2</v>
      </c>
    </row>
    <row r="32" customFormat="false" ht="15" hidden="false" customHeight="false" outlineLevel="0" collapsed="false">
      <c r="A32" s="22" t="s">
        <v>98</v>
      </c>
      <c r="B32" s="22"/>
      <c r="C32" s="22"/>
      <c r="D32" s="22"/>
      <c r="E32" s="23" t="n">
        <f aca="false">L25-M25</f>
        <v>12977890.8</v>
      </c>
    </row>
    <row r="33" customFormat="false" ht="15" hidden="false" customHeight="false" outlineLevel="0" collapsed="false">
      <c r="A33" s="22" t="s">
        <v>99</v>
      </c>
      <c r="B33" s="22"/>
      <c r="C33" s="22"/>
      <c r="D33" s="22"/>
      <c r="E33" s="24" t="n">
        <f aca="false">COUNTIF(J5:J24,"払済")</f>
        <v>5</v>
      </c>
    </row>
    <row r="34" customFormat="false" ht="15" hidden="false" customHeight="false" outlineLevel="0" collapsed="false">
      <c r="A34" s="25" t="s">
        <v>100</v>
      </c>
      <c r="B34" s="25"/>
      <c r="C34" s="25"/>
      <c r="D34" s="25"/>
      <c r="E34" s="26" t="n">
        <f aca="false">O25</f>
        <v>12057</v>
      </c>
    </row>
    <row r="36" customFormat="false" ht="15" hidden="false" customHeight="false" outlineLevel="0" collapsed="false">
      <c r="A36" s="21" t="s">
        <v>101</v>
      </c>
      <c r="E36" s="27" t="s">
        <v>102</v>
      </c>
      <c r="F36" s="27" t="s">
        <v>103</v>
      </c>
      <c r="G36" s="27" t="s">
        <v>104</v>
      </c>
    </row>
    <row r="37" customFormat="false" ht="15" hidden="false" customHeight="false" outlineLevel="0" collapsed="false">
      <c r="A37" s="22" t="s">
        <v>105</v>
      </c>
      <c r="B37" s="22"/>
      <c r="C37" s="22"/>
      <c r="D37" s="22"/>
      <c r="E37" s="10" t="n">
        <f aca="false">SUMIFS(K5:K22,J5:J22,"月払")</f>
        <v>863958</v>
      </c>
      <c r="F37" s="9" t="n">
        <v>863958</v>
      </c>
      <c r="G37" s="10" t="n">
        <f aca="false">E37-F37</f>
        <v>0</v>
      </c>
    </row>
    <row r="38" customFormat="false" ht="15" hidden="false" customHeight="false" outlineLevel="0" collapsed="false">
      <c r="A38" s="22" t="s">
        <v>106</v>
      </c>
      <c r="B38" s="22"/>
      <c r="C38" s="22"/>
      <c r="D38" s="22"/>
      <c r="E38" s="10" t="n">
        <f aca="false">SUMIFS(L15:L16,J15:J16,"年払")</f>
        <v>7406207</v>
      </c>
      <c r="F38" s="9" t="n">
        <v>7406207</v>
      </c>
      <c r="G38" s="10" t="n">
        <f aca="false">E38-F38</f>
        <v>0</v>
      </c>
    </row>
    <row r="39" customFormat="false" ht="15" hidden="false" customHeight="false" outlineLevel="0" collapsed="false">
      <c r="A39" s="22" t="s">
        <v>107</v>
      </c>
      <c r="B39" s="22"/>
      <c r="C39" s="22"/>
      <c r="D39" s="22"/>
      <c r="E39" s="10" t="n">
        <f aca="false">SUMIFS(L17:L22,J17:J22,"年払")</f>
        <v>15546552</v>
      </c>
      <c r="F39" s="9" t="n">
        <v>15546552</v>
      </c>
      <c r="G39" s="10" t="n">
        <f aca="false">E39-F39</f>
        <v>0</v>
      </c>
    </row>
    <row r="40" customFormat="false" ht="15" hidden="false" customHeight="false" outlineLevel="0" collapsed="false">
      <c r="A40" s="22" t="s">
        <v>108</v>
      </c>
      <c r="B40" s="22"/>
      <c r="C40" s="22"/>
      <c r="D40" s="22"/>
      <c r="E40" s="10" t="n">
        <f aca="false">SUM(M5:M22)-M9</f>
        <v>20068524.2</v>
      </c>
      <c r="F40" s="9" t="n">
        <v>20068524.2</v>
      </c>
      <c r="G40" s="10" t="n">
        <f aca="false">E40-F40</f>
        <v>0</v>
      </c>
    </row>
    <row r="42" customFormat="false" ht="15" hidden="false" customHeight="false" outlineLevel="0" collapsed="false">
      <c r="A42" s="2" t="s">
        <v>109</v>
      </c>
    </row>
    <row r="43" customFormat="false" ht="15" hidden="false" customHeight="false" outlineLevel="0" collapsed="false">
      <c r="A43" s="2" t="s">
        <v>110</v>
      </c>
    </row>
    <row r="44" customFormat="false" ht="15" hidden="false" customHeight="false" outlineLevel="0" collapsed="false">
      <c r="A44" s="2" t="s">
        <v>111</v>
      </c>
    </row>
    <row r="45" customFormat="false" ht="15" hidden="false" customHeight="false" outlineLevel="0" collapsed="false">
      <c r="A45" s="2" t="s">
        <v>112</v>
      </c>
    </row>
  </sheetData>
  <mergeCells count="11">
    <mergeCell ref="A28:D28"/>
    <mergeCell ref="A29:D29"/>
    <mergeCell ref="A30:D30"/>
    <mergeCell ref="A31:D31"/>
    <mergeCell ref="A32:D32"/>
    <mergeCell ref="A33:D33"/>
    <mergeCell ref="A34:D34"/>
    <mergeCell ref="A37:D37"/>
    <mergeCell ref="A38:D38"/>
    <mergeCell ref="A39:D3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2" style="0" width="12"/>
  </cols>
  <sheetData>
    <row r="1" customFormat="false" ht="17.1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48" hidden="false" customHeight="true" outlineLevel="0" collapsed="false">
      <c r="A4" s="3" t="s">
        <v>115</v>
      </c>
      <c r="B4" s="3" t="str">
        <f aca="false">保険一覧!A5&amp;" "&amp;保険一覧!B5&amp;CHAR(10)&amp;保険一覧!H5</f>
        <v>1 大同生命
岡田 優子</v>
      </c>
      <c r="C4" s="3" t="str">
        <f aca="false">保険一覧!A6&amp;" "&amp;保険一覧!B6&amp;CHAR(10)&amp;保険一覧!H6</f>
        <v>2 大同生命
岡田 淳</v>
      </c>
      <c r="D4" s="3" t="str">
        <f aca="false">保険一覧!A7&amp;" "&amp;保険一覧!B7&amp;CHAR(10)&amp;保険一覧!H7</f>
        <v>3 大同生命
Ｊ 岡田 優子</v>
      </c>
      <c r="E4" s="3" t="str">
        <f aca="false">保険一覧!A8&amp;" "&amp;保険一覧!B8&amp;CHAR(10)&amp;保険一覧!H8</f>
        <v>4 大同生命
Ｔ 岡田 優子</v>
      </c>
      <c r="F4" s="3" t="str">
        <f aca="false">保険一覧!A9&amp;" "&amp;保険一覧!B9&amp;CHAR(10)&amp;保険一覧!H9</f>
        <v>5 大同生命
坂本 武</v>
      </c>
      <c r="G4" s="3" t="str">
        <f aca="false">保険一覧!A10&amp;" "&amp;保険一覧!B10&amp;CHAR(10)&amp;保険一覧!H10</f>
        <v>6 大同生命
横山 清美</v>
      </c>
      <c r="H4" s="3" t="str">
        <f aca="false">保険一覧!A11&amp;" "&amp;保険一覧!B11&amp;CHAR(10)&amp;保険一覧!H11</f>
        <v>7 大同生命
坂本 武</v>
      </c>
      <c r="I4" s="3" t="str">
        <f aca="false">保険一覧!A12&amp;" "&amp;保険一覧!B12&amp;CHAR(10)&amp;保険一覧!H12</f>
        <v>8 大同生命
横山 清美</v>
      </c>
      <c r="J4" s="3" t="str">
        <f aca="false">保険一覧!A13&amp;" "&amp;保険一覧!B13&amp;CHAR(10)&amp;保険一覧!H13</f>
        <v>9 大同生命
坂本 麻莉</v>
      </c>
      <c r="K4" s="3" t="str">
        <f aca="false">保険一覧!A14&amp;" "&amp;保険一覧!B14&amp;CHAR(10)&amp;保険一覧!H14</f>
        <v>10 大同生命
坂本 麻莉</v>
      </c>
      <c r="L4" s="3" t="str">
        <f aca="false">保険一覧!A15&amp;" "&amp;保険一覧!B15&amp;CHAR(10)&amp;保険一覧!H15</f>
        <v>11 大同生命
坂本 武</v>
      </c>
      <c r="M4" s="3" t="str">
        <f aca="false">保険一覧!A16&amp;" "&amp;保険一覧!B16&amp;CHAR(10)&amp;保険一覧!H16</f>
        <v>12 大同生命
Ｔ 岡田 淳</v>
      </c>
      <c r="N4" s="3" t="str">
        <f aca="false">保険一覧!A17&amp;" "&amp;保険一覧!B17&amp;CHAR(10)&amp;保険一覧!H17</f>
        <v>13 日本生命
坂本 信</v>
      </c>
      <c r="O4" s="3" t="str">
        <f aca="false">保険一覧!A18&amp;" "&amp;保険一覧!B18&amp;CHAR(10)&amp;保険一覧!H18</f>
        <v>14 日本生命
坂本 信</v>
      </c>
      <c r="P4" s="3" t="str">
        <f aca="false">保険一覧!A19&amp;" "&amp;保険一覧!B19&amp;CHAR(10)&amp;保険一覧!H19</f>
        <v>15 日本生命
岡田 淳</v>
      </c>
      <c r="Q4" s="3" t="str">
        <f aca="false">保険一覧!A20&amp;" "&amp;保険一覧!B20&amp;CHAR(10)&amp;保険一覧!H20</f>
        <v>16 日本生命
岡田 淳</v>
      </c>
      <c r="R4" s="3" t="str">
        <f aca="false">保険一覧!A21&amp;" "&amp;保険一覧!B21&amp;CHAR(10)&amp;保険一覧!H21</f>
        <v>17 明治安田
坂本 武</v>
      </c>
      <c r="S4" s="3" t="str">
        <f aca="false">保険一覧!A22&amp;" "&amp;保険一覧!B22&amp;CHAR(10)&amp;保険一覧!H22</f>
        <v>18 明治安田
横山 清美</v>
      </c>
      <c r="T4" s="3" t="str">
        <f aca="false">保険一覧!A23&amp;" "&amp;保険一覧!B23&amp;CHAR(10)&amp;保険一覧!H23</f>
        <v>19 大同生命
坂本 麻莉</v>
      </c>
      <c r="U4" s="3" t="str">
        <f aca="false">保険一覧!A24&amp;" "&amp;保険一覧!B24&amp;CHAR(10)&amp;保険一覧!H24</f>
        <v>20 大同生命
坂本 麻莉</v>
      </c>
      <c r="V4" s="3" t="s">
        <v>91</v>
      </c>
    </row>
    <row r="5" customFormat="false" ht="15" hidden="false" customHeight="false" outlineLevel="0" collapsed="false">
      <c r="A5" s="28" t="s">
        <v>116</v>
      </c>
      <c r="B5" s="11" t="n">
        <v>159</v>
      </c>
      <c r="C5" s="11" t="n">
        <v>257</v>
      </c>
      <c r="D5" s="11" t="n">
        <v>292</v>
      </c>
      <c r="E5" s="11" t="n">
        <v>167</v>
      </c>
      <c r="F5" s="11"/>
      <c r="G5" s="11" t="n">
        <v>108</v>
      </c>
      <c r="H5" s="11" t="n">
        <v>1839</v>
      </c>
      <c r="I5" s="11" t="n">
        <v>149</v>
      </c>
      <c r="J5" s="11" t="n">
        <v>503</v>
      </c>
      <c r="K5" s="11" t="n">
        <v>116</v>
      </c>
      <c r="L5" s="11" t="n">
        <v>849</v>
      </c>
      <c r="M5" s="11" t="n">
        <v>220</v>
      </c>
      <c r="N5" s="11" t="n">
        <v>982</v>
      </c>
      <c r="O5" s="11" t="n">
        <v>1201</v>
      </c>
      <c r="P5" s="11" t="n">
        <v>451</v>
      </c>
      <c r="Q5" s="11" t="n">
        <v>188</v>
      </c>
      <c r="R5" s="11" t="n">
        <v>384</v>
      </c>
      <c r="S5" s="11" t="n">
        <v>340</v>
      </c>
      <c r="T5" s="11" t="n">
        <v>591</v>
      </c>
      <c r="U5" s="11" t="n">
        <v>267</v>
      </c>
      <c r="V5" s="19" t="n">
        <f aca="false">SUM(B5:U5)</f>
        <v>9063</v>
      </c>
    </row>
    <row r="6" customFormat="false" ht="15" hidden="false" customHeight="false" outlineLevel="0" collapsed="false">
      <c r="A6" s="28" t="s">
        <v>117</v>
      </c>
      <c r="B6" s="11" t="n">
        <v>165</v>
      </c>
      <c r="C6" s="11" t="n">
        <v>266</v>
      </c>
      <c r="D6" s="11" t="n">
        <v>433</v>
      </c>
      <c r="E6" s="11" t="n">
        <v>241</v>
      </c>
      <c r="F6" s="11"/>
      <c r="G6" s="11" t="n">
        <v>131</v>
      </c>
      <c r="H6" s="11" t="n">
        <v>2247</v>
      </c>
      <c r="I6" s="11" t="n">
        <v>196</v>
      </c>
      <c r="J6" s="11" t="n">
        <v>654</v>
      </c>
      <c r="K6" s="11" t="n">
        <v>456</v>
      </c>
      <c r="L6" s="11" t="n">
        <v>1138</v>
      </c>
      <c r="M6" s="11" t="n">
        <v>309</v>
      </c>
      <c r="N6" s="11" t="n">
        <v>1250</v>
      </c>
      <c r="O6" s="11" t="n">
        <v>1654</v>
      </c>
      <c r="P6" s="11" t="n">
        <v>714</v>
      </c>
      <c r="Q6" s="11" t="n">
        <v>451</v>
      </c>
      <c r="R6" s="11" t="n">
        <v>461</v>
      </c>
      <c r="S6" s="11" t="n">
        <v>411</v>
      </c>
      <c r="T6" s="11" t="n">
        <v>591</v>
      </c>
      <c r="U6" s="11" t="n">
        <v>289</v>
      </c>
      <c r="V6" s="19" t="n">
        <f aca="false">SUM(B6:U6)</f>
        <v>12057</v>
      </c>
    </row>
    <row r="7" customFormat="false" ht="15" hidden="false" customHeight="false" outlineLevel="0" collapsed="false">
      <c r="A7" s="28" t="s">
        <v>118</v>
      </c>
      <c r="B7" s="11" t="n">
        <v>165</v>
      </c>
      <c r="C7" s="11" t="n">
        <v>267</v>
      </c>
      <c r="D7" s="11" t="n">
        <v>434</v>
      </c>
      <c r="E7" s="11" t="n">
        <v>316</v>
      </c>
      <c r="F7" s="11"/>
      <c r="G7" s="11" t="n">
        <v>154</v>
      </c>
      <c r="H7" s="11" t="n">
        <v>2651</v>
      </c>
      <c r="I7" s="11" t="n">
        <v>242</v>
      </c>
      <c r="J7" s="11" t="n">
        <v>800</v>
      </c>
      <c r="K7" s="11" t="n">
        <v>196</v>
      </c>
      <c r="L7" s="11" t="n">
        <v>1422</v>
      </c>
      <c r="M7" s="11" t="n">
        <v>399</v>
      </c>
      <c r="N7" s="11" t="n">
        <v>1516</v>
      </c>
      <c r="O7" s="11" t="n">
        <v>2114</v>
      </c>
      <c r="P7" s="11" t="n">
        <v>975</v>
      </c>
      <c r="Q7" s="11" t="n">
        <v>714</v>
      </c>
      <c r="R7" s="11" t="n">
        <v>538</v>
      </c>
      <c r="S7" s="11" t="n">
        <v>482</v>
      </c>
      <c r="T7" s="11" t="n">
        <v>590</v>
      </c>
      <c r="U7" s="11" t="n">
        <v>310</v>
      </c>
      <c r="V7" s="19" t="n">
        <f aca="false">SUM(B7:U7)</f>
        <v>14285</v>
      </c>
    </row>
    <row r="8" customFormat="false" ht="15" hidden="false" customHeight="false" outlineLevel="0" collapsed="false">
      <c r="A8" s="28" t="s">
        <v>119</v>
      </c>
      <c r="B8" s="11" t="n">
        <v>166</v>
      </c>
      <c r="C8" s="11" t="n">
        <v>270</v>
      </c>
      <c r="D8" s="11" t="n">
        <v>434</v>
      </c>
      <c r="E8" s="11" t="n">
        <v>389</v>
      </c>
      <c r="F8" s="11"/>
      <c r="G8" s="11" t="n">
        <v>176</v>
      </c>
      <c r="H8" s="11" t="n">
        <v>3049</v>
      </c>
      <c r="I8" s="11" t="n">
        <v>287</v>
      </c>
      <c r="J8" s="11" t="n">
        <v>944</v>
      </c>
      <c r="K8" s="11" t="n">
        <v>236</v>
      </c>
      <c r="L8" s="11" t="n">
        <v>1701</v>
      </c>
      <c r="M8" s="11" t="n">
        <v>488</v>
      </c>
      <c r="N8" s="11" t="n">
        <v>1780</v>
      </c>
      <c r="O8" s="11" t="n">
        <v>2578</v>
      </c>
      <c r="P8" s="11" t="n">
        <v>1238</v>
      </c>
      <c r="Q8" s="11" t="n">
        <v>975</v>
      </c>
      <c r="R8" s="11" t="n">
        <v>615</v>
      </c>
      <c r="S8" s="11" t="n">
        <v>554</v>
      </c>
      <c r="T8" s="11" t="n">
        <v>589</v>
      </c>
      <c r="U8" s="11" t="n">
        <v>331</v>
      </c>
      <c r="V8" s="19" t="n">
        <f aca="false">SUM(B8:U8)</f>
        <v>16800</v>
      </c>
    </row>
    <row r="9" customFormat="false" ht="15" hidden="false" customHeight="false" outlineLevel="0" collapsed="false">
      <c r="A9" s="28" t="s">
        <v>120</v>
      </c>
      <c r="B9" s="11" t="n">
        <v>166</v>
      </c>
      <c r="C9" s="11" t="n">
        <v>271</v>
      </c>
      <c r="D9" s="11" t="n">
        <v>435</v>
      </c>
      <c r="E9" s="11" t="n">
        <v>462</v>
      </c>
      <c r="F9" s="11"/>
      <c r="G9" s="11" t="n">
        <v>198</v>
      </c>
      <c r="H9" s="11" t="n">
        <v>3442</v>
      </c>
      <c r="I9" s="11" t="n">
        <v>333</v>
      </c>
      <c r="J9" s="11" t="n">
        <v>1083</v>
      </c>
      <c r="K9" s="11" t="n">
        <v>276</v>
      </c>
      <c r="L9" s="11" t="n">
        <v>1974</v>
      </c>
      <c r="M9" s="11" t="n">
        <v>577</v>
      </c>
      <c r="N9" s="11" t="n">
        <v>2046</v>
      </c>
      <c r="O9" s="11" t="n">
        <v>3044</v>
      </c>
      <c r="P9" s="11" t="n">
        <v>1500</v>
      </c>
      <c r="Q9" s="11" t="n">
        <v>1238</v>
      </c>
      <c r="R9" s="11" t="n">
        <v>692</v>
      </c>
      <c r="S9" s="11" t="n">
        <v>626</v>
      </c>
      <c r="T9" s="11" t="n">
        <v>586</v>
      </c>
      <c r="U9" s="11" t="n">
        <v>351</v>
      </c>
      <c r="V9" s="19" t="n">
        <f aca="false">SUM(B9:U9)</f>
        <v>19300</v>
      </c>
    </row>
    <row r="10" customFormat="false" ht="15" hidden="false" customHeight="false" outlineLevel="0" collapsed="false">
      <c r="A10" s="28" t="s">
        <v>121</v>
      </c>
      <c r="B10" s="11" t="n">
        <v>167</v>
      </c>
      <c r="C10" s="11" t="n">
        <v>272</v>
      </c>
      <c r="D10" s="11" t="n">
        <v>435</v>
      </c>
      <c r="E10" s="11" t="n">
        <v>535</v>
      </c>
      <c r="F10" s="11"/>
      <c r="G10" s="11" t="n">
        <v>217</v>
      </c>
      <c r="H10" s="11" t="n">
        <v>3828</v>
      </c>
      <c r="I10" s="11" t="n">
        <v>377</v>
      </c>
      <c r="J10" s="11" t="n">
        <v>1220</v>
      </c>
      <c r="K10" s="11" t="n">
        <v>316</v>
      </c>
      <c r="L10" s="11" t="n">
        <v>2238</v>
      </c>
      <c r="M10" s="11" t="n">
        <v>667</v>
      </c>
      <c r="N10" s="11" t="n">
        <v>2311</v>
      </c>
      <c r="O10" s="11" t="n">
        <v>3518</v>
      </c>
      <c r="P10" s="11" t="n">
        <v>1760</v>
      </c>
      <c r="Q10" s="11" t="n">
        <v>1500</v>
      </c>
      <c r="R10" s="11" t="n">
        <v>769</v>
      </c>
      <c r="S10" s="11" t="n">
        <v>700</v>
      </c>
      <c r="T10" s="11" t="n">
        <v>584</v>
      </c>
      <c r="U10" s="11" t="n">
        <v>371</v>
      </c>
      <c r="V10" s="19" t="n">
        <f aca="false">SUM(B10:U10)</f>
        <v>21785</v>
      </c>
    </row>
    <row r="11" customFormat="false" ht="15" hidden="false" customHeight="false" outlineLevel="0" collapsed="false">
      <c r="A11" s="28" t="s">
        <v>122</v>
      </c>
      <c r="B11" s="11" t="n">
        <v>167</v>
      </c>
      <c r="C11" s="11" t="n">
        <v>273</v>
      </c>
      <c r="D11" s="11" t="n">
        <v>435</v>
      </c>
      <c r="E11" s="11" t="n">
        <v>608</v>
      </c>
      <c r="F11" s="11"/>
      <c r="G11" s="11" t="n">
        <v>235</v>
      </c>
      <c r="H11" s="11" t="n">
        <v>4193</v>
      </c>
      <c r="I11" s="11" t="n">
        <v>421</v>
      </c>
      <c r="J11" s="11" t="n">
        <v>1354</v>
      </c>
      <c r="K11" s="11" t="n">
        <v>356</v>
      </c>
      <c r="L11" s="11" t="n">
        <v>2494</v>
      </c>
      <c r="M11" s="11" t="n">
        <v>756</v>
      </c>
      <c r="N11" s="11" t="n">
        <v>2576</v>
      </c>
      <c r="O11" s="11" t="n">
        <v>3995</v>
      </c>
      <c r="P11" s="11" t="n">
        <v>2022</v>
      </c>
      <c r="Q11" s="11" t="n">
        <v>1760</v>
      </c>
      <c r="R11" s="11"/>
      <c r="S11" s="11"/>
      <c r="T11" s="11" t="n">
        <v>580</v>
      </c>
      <c r="U11" s="11" t="n">
        <v>390</v>
      </c>
      <c r="V11" s="19" t="n">
        <f aca="false">SUM(B11:U11)</f>
        <v>22615</v>
      </c>
    </row>
    <row r="12" customFormat="false" ht="15" hidden="false" customHeight="false" outlineLevel="0" collapsed="false">
      <c r="A12" s="28" t="s">
        <v>123</v>
      </c>
      <c r="B12" s="11" t="n">
        <v>168</v>
      </c>
      <c r="C12" s="11" t="n">
        <v>274</v>
      </c>
      <c r="D12" s="11" t="n">
        <v>435</v>
      </c>
      <c r="E12" s="11" t="n">
        <v>680</v>
      </c>
      <c r="F12" s="11"/>
      <c r="G12" s="11" t="n">
        <v>250</v>
      </c>
      <c r="H12" s="11" t="n">
        <v>4533</v>
      </c>
      <c r="I12" s="11" t="n">
        <v>464</v>
      </c>
      <c r="J12" s="11" t="n">
        <v>1484</v>
      </c>
      <c r="K12" s="11" t="n">
        <v>395</v>
      </c>
      <c r="L12" s="11" t="n">
        <v>2740</v>
      </c>
      <c r="M12" s="11" t="n">
        <v>845</v>
      </c>
      <c r="N12" s="11" t="n">
        <v>2832</v>
      </c>
      <c r="O12" s="11" t="n">
        <v>4479</v>
      </c>
      <c r="P12" s="11" t="n">
        <v>2281</v>
      </c>
      <c r="Q12" s="11" t="n">
        <v>2022</v>
      </c>
      <c r="R12" s="11"/>
      <c r="S12" s="11"/>
      <c r="T12" s="11" t="n">
        <v>576</v>
      </c>
      <c r="U12" s="11" t="n">
        <v>409</v>
      </c>
      <c r="V12" s="19" t="n">
        <f aca="false">SUM(B12:U12)</f>
        <v>24867</v>
      </c>
    </row>
    <row r="13" customFormat="false" ht="15" hidden="false" customHeight="false" outlineLevel="0" collapsed="false">
      <c r="A13" s="28" t="s">
        <v>124</v>
      </c>
      <c r="B13" s="11" t="n">
        <v>168</v>
      </c>
      <c r="C13" s="11" t="n">
        <v>275</v>
      </c>
      <c r="D13" s="11" t="n">
        <v>435</v>
      </c>
      <c r="E13" s="11" t="n">
        <v>747</v>
      </c>
      <c r="F13" s="11"/>
      <c r="G13" s="11" t="n">
        <v>262</v>
      </c>
      <c r="H13" s="11" t="n">
        <v>4861</v>
      </c>
      <c r="I13" s="11" t="n">
        <v>505</v>
      </c>
      <c r="J13" s="11" t="n">
        <v>1607</v>
      </c>
      <c r="K13" s="11" t="n">
        <v>433</v>
      </c>
      <c r="L13" s="11" t="n">
        <v>2947</v>
      </c>
      <c r="M13" s="11" t="n">
        <v>930</v>
      </c>
      <c r="N13" s="11" t="n">
        <v>3088</v>
      </c>
      <c r="O13" s="11" t="n">
        <v>4956</v>
      </c>
      <c r="P13" s="11" t="n">
        <v>2540</v>
      </c>
      <c r="Q13" s="11" t="n">
        <v>2281</v>
      </c>
      <c r="R13" s="11"/>
      <c r="S13" s="11"/>
      <c r="T13" s="11" t="n">
        <v>570</v>
      </c>
      <c r="U13" s="11" t="n">
        <v>427</v>
      </c>
      <c r="V13" s="19" t="n">
        <f aca="false">SUM(B13:U13)</f>
        <v>27032</v>
      </c>
    </row>
    <row r="14" customFormat="false" ht="15" hidden="false" customHeight="false" outlineLevel="0" collapsed="false">
      <c r="A14" s="28" t="s">
        <v>125</v>
      </c>
      <c r="B14" s="11" t="n">
        <v>169</v>
      </c>
      <c r="C14" s="11" t="n">
        <v>276</v>
      </c>
      <c r="D14" s="11" t="n">
        <v>435</v>
      </c>
      <c r="E14" s="11" t="n">
        <v>814</v>
      </c>
      <c r="F14" s="11"/>
      <c r="G14" s="11" t="n">
        <v>272</v>
      </c>
      <c r="H14" s="11" t="n">
        <v>5175</v>
      </c>
      <c r="I14" s="11" t="n">
        <v>544</v>
      </c>
      <c r="J14" s="11" t="n">
        <v>1728</v>
      </c>
      <c r="K14" s="11" t="n">
        <v>471</v>
      </c>
      <c r="L14" s="11" t="n">
        <v>3138</v>
      </c>
      <c r="M14" s="11" t="n">
        <v>1015</v>
      </c>
      <c r="N14" s="11" t="n">
        <v>3341</v>
      </c>
      <c r="O14" s="11" t="n">
        <v>5440</v>
      </c>
      <c r="P14" s="11" t="n">
        <v>2791</v>
      </c>
      <c r="Q14" s="11" t="n">
        <v>2540</v>
      </c>
      <c r="R14" s="11"/>
      <c r="S14" s="11"/>
      <c r="T14" s="11" t="n">
        <v>564</v>
      </c>
      <c r="U14" s="11" t="n">
        <v>443</v>
      </c>
      <c r="V14" s="19" t="n">
        <f aca="false">SUM(B14:U14)</f>
        <v>29156</v>
      </c>
    </row>
    <row r="15" customFormat="false" ht="15" hidden="false" customHeight="false" outlineLevel="0" collapsed="false">
      <c r="A15" s="28" t="s">
        <v>126</v>
      </c>
      <c r="B15" s="11" t="n">
        <v>169</v>
      </c>
      <c r="C15" s="11" t="n">
        <v>277</v>
      </c>
      <c r="D15" s="11" t="n">
        <v>434</v>
      </c>
      <c r="E15" s="11" t="n">
        <v>880</v>
      </c>
      <c r="F15" s="11"/>
      <c r="G15" s="11" t="n">
        <v>280</v>
      </c>
      <c r="H15" s="11" t="n">
        <v>5473</v>
      </c>
      <c r="I15" s="11" t="n">
        <v>582</v>
      </c>
      <c r="J15" s="11" t="n">
        <v>1845</v>
      </c>
      <c r="K15" s="11" t="n">
        <v>508</v>
      </c>
      <c r="L15" s="11" t="n">
        <v>3310</v>
      </c>
      <c r="M15" s="11" t="n">
        <v>1098</v>
      </c>
      <c r="N15" s="11" t="n">
        <v>3595</v>
      </c>
      <c r="O15" s="11" t="n">
        <v>5926</v>
      </c>
      <c r="P15" s="11" t="n">
        <v>3041</v>
      </c>
      <c r="Q15" s="11" t="n">
        <v>2791</v>
      </c>
      <c r="R15" s="11"/>
      <c r="S15" s="11"/>
      <c r="T15" s="11" t="n">
        <v>557</v>
      </c>
      <c r="U15" s="11" t="n">
        <v>458</v>
      </c>
      <c r="V15" s="19" t="n">
        <f aca="false">SUM(B15:U15)</f>
        <v>31224</v>
      </c>
    </row>
    <row r="17" customFormat="false" ht="15" hidden="false" customHeight="false" outlineLevel="0" collapsed="false">
      <c r="A17" s="27" t="s">
        <v>127</v>
      </c>
      <c r="B17" s="12" t="n">
        <v>0.432</v>
      </c>
      <c r="C17" s="12" t="n">
        <v>0.458</v>
      </c>
      <c r="D17" s="12" t="n">
        <v>0.528</v>
      </c>
      <c r="E17" s="12" t="n">
        <v>0.449</v>
      </c>
      <c r="F17" s="12"/>
      <c r="G17" s="12" t="n">
        <v>0.4</v>
      </c>
      <c r="H17" s="12" t="n">
        <v>0.688</v>
      </c>
      <c r="I17" s="12" t="n">
        <v>0.688</v>
      </c>
      <c r="J17" s="12" t="n">
        <v>0.675</v>
      </c>
      <c r="K17" s="12" t="n">
        <v>0.646</v>
      </c>
      <c r="L17" s="12" t="n">
        <v>0.5</v>
      </c>
      <c r="M17" s="12" t="n">
        <v>0.464</v>
      </c>
      <c r="N17" s="12" t="n">
        <v>0.826</v>
      </c>
      <c r="O17" s="12" t="n">
        <v>0.831</v>
      </c>
      <c r="P17" s="12" t="n">
        <v>0.789</v>
      </c>
      <c r="Q17" s="12" t="n">
        <v>0.748</v>
      </c>
      <c r="R17" s="12" t="n">
        <v>0.881</v>
      </c>
      <c r="S17" s="12" t="n">
        <v>0.917</v>
      </c>
      <c r="T17" s="12" t="n">
        <v>0.687</v>
      </c>
      <c r="U17" s="12" t="n">
        <v>0.667</v>
      </c>
    </row>
    <row r="18" customFormat="false" ht="26.85" hidden="false" customHeight="false" outlineLevel="0" collapsed="false">
      <c r="A18" s="27" t="s">
        <v>18</v>
      </c>
      <c r="B18" s="29" t="s">
        <v>30</v>
      </c>
      <c r="C18" s="29" t="s">
        <v>30</v>
      </c>
      <c r="D18" s="30" t="s">
        <v>37</v>
      </c>
      <c r="E18" s="30" t="s">
        <v>41</v>
      </c>
      <c r="F18" s="29" t="s">
        <v>48</v>
      </c>
      <c r="G18" s="29" t="s">
        <v>48</v>
      </c>
      <c r="H18" s="30" t="s">
        <v>37</v>
      </c>
      <c r="I18" s="29" t="s">
        <v>48</v>
      </c>
      <c r="J18" s="30" t="s">
        <v>37</v>
      </c>
      <c r="K18" s="29" t="s">
        <v>48</v>
      </c>
      <c r="L18" s="30" t="s">
        <v>67</v>
      </c>
      <c r="M18" s="30" t="s">
        <v>41</v>
      </c>
      <c r="N18" s="29" t="s">
        <v>48</v>
      </c>
      <c r="O18" s="29" t="s">
        <v>48</v>
      </c>
      <c r="P18" s="29" t="s">
        <v>48</v>
      </c>
      <c r="Q18" s="29" t="s">
        <v>48</v>
      </c>
      <c r="R18" s="30" t="s">
        <v>85</v>
      </c>
      <c r="S18" s="30" t="s">
        <v>85</v>
      </c>
      <c r="T18" s="29"/>
      <c r="U18" s="29"/>
    </row>
    <row r="20" customFormat="false" ht="15" hidden="false" customHeight="false" outlineLevel="0" collapsed="false">
      <c r="A20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20" min="3" style="0" width="11"/>
    <col collapsed="false" customWidth="true" hidden="false" outlineLevel="0" max="21" min="21" style="0" width="13"/>
    <col collapsed="false" customWidth="true" hidden="false" outlineLevel="0" max="22" min="22" style="0" width="14"/>
  </cols>
  <sheetData>
    <row r="1" customFormat="false" ht="17.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31.5" hidden="false" customHeight="true" outlineLevel="0" collapsed="false">
      <c r="A4" s="3" t="s">
        <v>131</v>
      </c>
      <c r="B4" s="31"/>
      <c r="C4" s="32" t="n">
        <v>46296</v>
      </c>
      <c r="D4" s="32" t="n">
        <f aca="false">EDATE(C4,1)</f>
        <v>46327</v>
      </c>
      <c r="E4" s="32" t="n">
        <f aca="false">EDATE(D4,1)</f>
        <v>46357</v>
      </c>
      <c r="F4" s="32" t="n">
        <f aca="false">EDATE(E4,1)</f>
        <v>46388</v>
      </c>
      <c r="G4" s="32" t="n">
        <f aca="false">EDATE(F4,1)</f>
        <v>46419</v>
      </c>
      <c r="H4" s="32" t="n">
        <f aca="false">EDATE(G4,1)</f>
        <v>46447</v>
      </c>
      <c r="I4" s="32" t="n">
        <f aca="false">EDATE(H4,1)</f>
        <v>46478</v>
      </c>
      <c r="J4" s="32" t="n">
        <f aca="false">EDATE(I4,1)</f>
        <v>46508</v>
      </c>
      <c r="K4" s="32" t="n">
        <f aca="false">EDATE(J4,1)</f>
        <v>46539</v>
      </c>
      <c r="L4" s="32" t="n">
        <f aca="false">EDATE(K4,1)</f>
        <v>46569</v>
      </c>
      <c r="M4" s="32" t="n">
        <f aca="false">EDATE(L4,1)</f>
        <v>46600</v>
      </c>
      <c r="N4" s="32" t="n">
        <f aca="false">EDATE(M4,1)</f>
        <v>46631</v>
      </c>
      <c r="O4" s="32" t="n">
        <f aca="false">EDATE(N4,1)</f>
        <v>46661</v>
      </c>
      <c r="P4" s="32" t="n">
        <f aca="false">EDATE(O4,1)</f>
        <v>46692</v>
      </c>
      <c r="Q4" s="32" t="n">
        <f aca="false">EDATE(P4,1)</f>
        <v>46722</v>
      </c>
      <c r="R4" s="32" t="n">
        <f aca="false">EDATE(Q4,1)</f>
        <v>46753</v>
      </c>
      <c r="S4" s="32" t="n">
        <f aca="false">EDATE(R4,1)</f>
        <v>46784</v>
      </c>
      <c r="T4" s="32" t="n">
        <f aca="false">EDATE(S4,1)</f>
        <v>46813</v>
      </c>
      <c r="U4" s="3" t="s">
        <v>132</v>
      </c>
      <c r="V4" s="3" t="s">
        <v>133</v>
      </c>
    </row>
    <row r="6" customFormat="false" ht="15" hidden="false" customHeight="false" outlineLevel="0" collapsed="false">
      <c r="A6" s="33" t="str">
        <f aca="false">保険一覧!A5&amp;" "&amp;保険一覧!B5&amp;" "&amp;保険一覧!H5</f>
        <v>1 大同生命 岡田 優子</v>
      </c>
      <c r="B6" s="33"/>
      <c r="C6" s="34" t="n">
        <f aca="false">IF(OR(保険一覧!$S5="",C$4&lt;保険一覧!$S5),IF(保険一覧!$J5="月払",保険一覧!$K5,IF(AND(保険一覧!$J5="年払",MONTH(C$4)=保険一覧!$R5),保険一覧!$K5,0)),0)</f>
        <v>0</v>
      </c>
      <c r="D6" s="34" t="n">
        <f aca="false">IF(OR(保険一覧!$S5="",D$4&lt;保険一覧!$S5),IF(保険一覧!$J5="月払",保険一覧!$K5,IF(AND(保険一覧!$J5="年払",MONTH(D$4)=保険一覧!$R5),保険一覧!$K5,0)),0)</f>
        <v>0</v>
      </c>
      <c r="E6" s="34" t="n">
        <f aca="false">IF(OR(保険一覧!$S5="",E$4&lt;保険一覧!$S5),IF(保険一覧!$J5="月払",保険一覧!$K5,IF(AND(保険一覧!$J5="年払",MONTH(E$4)=保険一覧!$R5),保険一覧!$K5,0)),0)</f>
        <v>0</v>
      </c>
      <c r="F6" s="34" t="n">
        <f aca="false">IF(OR(保険一覧!$S5="",F$4&lt;保険一覧!$S5),IF(保険一覧!$J5="月払",保険一覧!$K5,IF(AND(保険一覧!$J5="年払",MONTH(F$4)=保険一覧!$R5),保険一覧!$K5,0)),0)</f>
        <v>0</v>
      </c>
      <c r="G6" s="34" t="n">
        <f aca="false">IF(OR(保険一覧!$S5="",G$4&lt;保険一覧!$S5),IF(保険一覧!$J5="月払",保険一覧!$K5,IF(AND(保険一覧!$J5="年払",MONTH(G$4)=保険一覧!$R5),保険一覧!$K5,0)),0)</f>
        <v>0</v>
      </c>
      <c r="H6" s="34" t="n">
        <f aca="false">IF(OR(保険一覧!$S5="",H$4&lt;保険一覧!$S5),IF(保険一覧!$J5="月払",保険一覧!$K5,IF(AND(保険一覧!$J5="年払",MONTH(H$4)=保険一覧!$R5),保険一覧!$K5,0)),0)</f>
        <v>0</v>
      </c>
      <c r="I6" s="34" t="n">
        <f aca="false">IF(OR(保険一覧!$S5="",I$4&lt;保険一覧!$S5),IF(保険一覧!$J5="月払",保険一覧!$K5,IF(AND(保険一覧!$J5="年払",MONTH(I$4)=保険一覧!$R5),保険一覧!$K5,0)),0)</f>
        <v>0</v>
      </c>
      <c r="J6" s="34" t="n">
        <f aca="false">IF(OR(保険一覧!$S5="",J$4&lt;保険一覧!$S5),IF(保険一覧!$J5="月払",保険一覧!$K5,IF(AND(保険一覧!$J5="年払",MONTH(J$4)=保険一覧!$R5),保険一覧!$K5,0)),0)</f>
        <v>0</v>
      </c>
      <c r="K6" s="34" t="n">
        <f aca="false">IF(OR(保険一覧!$S5="",K$4&lt;保険一覧!$S5),IF(保険一覧!$J5="月払",保険一覧!$K5,IF(AND(保険一覧!$J5="年払",MONTH(K$4)=保険一覧!$R5),保険一覧!$K5,0)),0)</f>
        <v>0</v>
      </c>
      <c r="L6" s="34" t="n">
        <f aca="false">IF(OR(保険一覧!$S5="",L$4&lt;保険一覧!$S5),IF(保険一覧!$J5="月払",保険一覧!$K5,IF(AND(保険一覧!$J5="年払",MONTH(L$4)=保険一覧!$R5),保険一覧!$K5,0)),0)</f>
        <v>0</v>
      </c>
      <c r="M6" s="34" t="n">
        <f aca="false">IF(OR(保険一覧!$S5="",M$4&lt;保険一覧!$S5),IF(保険一覧!$J5="月払",保険一覧!$K5,IF(AND(保険一覧!$J5="年払",MONTH(M$4)=保険一覧!$R5),保険一覧!$K5,0)),0)</f>
        <v>0</v>
      </c>
      <c r="N6" s="34" t="n">
        <f aca="false">IF(OR(保険一覧!$S5="",N$4&lt;保険一覧!$S5),IF(保険一覧!$J5="月払",保険一覧!$K5,IF(AND(保険一覧!$J5="年払",MONTH(N$4)=保険一覧!$R5),保険一覧!$K5,0)),0)</f>
        <v>0</v>
      </c>
      <c r="O6" s="34" t="n">
        <f aca="false">IF(OR(保険一覧!$S5="",O$4&lt;保険一覧!$S5),IF(保険一覧!$J5="月払",保険一覧!$K5,IF(AND(保険一覧!$J5="年払",MONTH(O$4)=保険一覧!$R5),保険一覧!$K5,0)),0)</f>
        <v>0</v>
      </c>
      <c r="P6" s="34" t="n">
        <f aca="false">IF(OR(保険一覧!$S5="",P$4&lt;保険一覧!$S5),IF(保険一覧!$J5="月払",保険一覧!$K5,IF(AND(保険一覧!$J5="年払",MONTH(P$4)=保険一覧!$R5),保険一覧!$K5,0)),0)</f>
        <v>0</v>
      </c>
      <c r="Q6" s="34" t="n">
        <f aca="false">IF(OR(保険一覧!$S5="",Q$4&lt;保険一覧!$S5),IF(保険一覧!$J5="月払",保険一覧!$K5,IF(AND(保険一覧!$J5="年払",MONTH(Q$4)=保険一覧!$R5),保険一覧!$K5,0)),0)</f>
        <v>0</v>
      </c>
      <c r="R6" s="34" t="n">
        <f aca="false">IF(OR(保険一覧!$S5="",R$4&lt;保険一覧!$S5),IF(保険一覧!$J5="月払",保険一覧!$K5,IF(AND(保険一覧!$J5="年払",MONTH(R$4)=保険一覧!$R5),保険一覧!$K5,0)),0)</f>
        <v>0</v>
      </c>
      <c r="S6" s="34" t="n">
        <f aca="false">IF(OR(保険一覧!$S5="",S$4&lt;保険一覧!$S5),IF(保険一覧!$J5="月払",保険一覧!$K5,IF(AND(保険一覧!$J5="年払",MONTH(S$4)=保険一覧!$R5),保険一覧!$K5,0)),0)</f>
        <v>0</v>
      </c>
      <c r="T6" s="34" t="n">
        <f aca="false">IF(OR(保険一覧!$S5="",T$4&lt;保険一覧!$S5),IF(保険一覧!$J5="月払",保険一覧!$K5,IF(AND(保険一覧!$J5="年払",MONTH(T$4)=保険一覧!$R5),保険一覧!$K5,0)),0)</f>
        <v>0</v>
      </c>
      <c r="U6" s="10" t="n">
        <f aca="false">SUM(C6:T6)</f>
        <v>0</v>
      </c>
      <c r="V6" s="10" t="n">
        <f aca="false">SUMIFS(C6:T6,$C$4:$T$4,"&gt;="&amp;DATE(2027,4,1),$C$4:$T$4,"&lt;="&amp;DATE(2028,3,1))</f>
        <v>0</v>
      </c>
    </row>
    <row r="7" customFormat="false" ht="15" hidden="false" customHeight="false" outlineLevel="0" collapsed="false">
      <c r="A7" s="33" t="str">
        <f aca="false">保険一覧!A6&amp;" "&amp;保険一覧!B6&amp;" "&amp;保険一覧!H6</f>
        <v>2 大同生命 岡田 淳</v>
      </c>
      <c r="B7" s="33"/>
      <c r="C7" s="34" t="n">
        <f aca="false">IF(OR(保険一覧!$S6="",C$4&lt;保険一覧!$S6),IF(保険一覧!$J6="月払",保険一覧!$K6,IF(AND(保険一覧!$J6="年払",MONTH(C$4)=保険一覧!$R6),保険一覧!$K6,0)),0)</f>
        <v>0</v>
      </c>
      <c r="D7" s="34" t="n">
        <f aca="false">IF(OR(保険一覧!$S6="",D$4&lt;保険一覧!$S6),IF(保険一覧!$J6="月払",保険一覧!$K6,IF(AND(保険一覧!$J6="年払",MONTH(D$4)=保険一覧!$R6),保険一覧!$K6,0)),0)</f>
        <v>0</v>
      </c>
      <c r="E7" s="34" t="n">
        <f aca="false">IF(OR(保険一覧!$S6="",E$4&lt;保険一覧!$S6),IF(保険一覧!$J6="月払",保険一覧!$K6,IF(AND(保険一覧!$J6="年払",MONTH(E$4)=保険一覧!$R6),保険一覧!$K6,0)),0)</f>
        <v>0</v>
      </c>
      <c r="F7" s="34" t="n">
        <f aca="false">IF(OR(保険一覧!$S6="",F$4&lt;保険一覧!$S6),IF(保険一覧!$J6="月払",保険一覧!$K6,IF(AND(保険一覧!$J6="年払",MONTH(F$4)=保険一覧!$R6),保険一覧!$K6,0)),0)</f>
        <v>0</v>
      </c>
      <c r="G7" s="34" t="n">
        <f aca="false">IF(OR(保険一覧!$S6="",G$4&lt;保険一覧!$S6),IF(保険一覧!$J6="月払",保険一覧!$K6,IF(AND(保険一覧!$J6="年払",MONTH(G$4)=保険一覧!$R6),保険一覧!$K6,0)),0)</f>
        <v>0</v>
      </c>
      <c r="H7" s="34" t="n">
        <f aca="false">IF(OR(保険一覧!$S6="",H$4&lt;保険一覧!$S6),IF(保険一覧!$J6="月払",保険一覧!$K6,IF(AND(保険一覧!$J6="年払",MONTH(H$4)=保険一覧!$R6),保険一覧!$K6,0)),0)</f>
        <v>0</v>
      </c>
      <c r="I7" s="34" t="n">
        <f aca="false">IF(OR(保険一覧!$S6="",I$4&lt;保険一覧!$S6),IF(保険一覧!$J6="月払",保険一覧!$K6,IF(AND(保険一覧!$J6="年払",MONTH(I$4)=保険一覧!$R6),保険一覧!$K6,0)),0)</f>
        <v>0</v>
      </c>
      <c r="J7" s="34" t="n">
        <f aca="false">IF(OR(保険一覧!$S6="",J$4&lt;保険一覧!$S6),IF(保険一覧!$J6="月払",保険一覧!$K6,IF(AND(保険一覧!$J6="年払",MONTH(J$4)=保険一覧!$R6),保険一覧!$K6,0)),0)</f>
        <v>0</v>
      </c>
      <c r="K7" s="34" t="n">
        <f aca="false">IF(OR(保険一覧!$S6="",K$4&lt;保険一覧!$S6),IF(保険一覧!$J6="月払",保険一覧!$K6,IF(AND(保険一覧!$J6="年払",MONTH(K$4)=保険一覧!$R6),保険一覧!$K6,0)),0)</f>
        <v>0</v>
      </c>
      <c r="L7" s="34" t="n">
        <f aca="false">IF(OR(保険一覧!$S6="",L$4&lt;保険一覧!$S6),IF(保険一覧!$J6="月払",保険一覧!$K6,IF(AND(保険一覧!$J6="年払",MONTH(L$4)=保険一覧!$R6),保険一覧!$K6,0)),0)</f>
        <v>0</v>
      </c>
      <c r="M7" s="34" t="n">
        <f aca="false">IF(OR(保険一覧!$S6="",M$4&lt;保険一覧!$S6),IF(保険一覧!$J6="月払",保険一覧!$K6,IF(AND(保険一覧!$J6="年払",MONTH(M$4)=保険一覧!$R6),保険一覧!$K6,0)),0)</f>
        <v>0</v>
      </c>
      <c r="N7" s="34" t="n">
        <f aca="false">IF(OR(保険一覧!$S6="",N$4&lt;保険一覧!$S6),IF(保険一覧!$J6="月払",保険一覧!$K6,IF(AND(保険一覧!$J6="年払",MONTH(N$4)=保険一覧!$R6),保険一覧!$K6,0)),0)</f>
        <v>0</v>
      </c>
      <c r="O7" s="34" t="n">
        <f aca="false">IF(OR(保険一覧!$S6="",O$4&lt;保険一覧!$S6),IF(保険一覧!$J6="月払",保険一覧!$K6,IF(AND(保険一覧!$J6="年払",MONTH(O$4)=保険一覧!$R6),保険一覧!$K6,0)),0)</f>
        <v>0</v>
      </c>
      <c r="P7" s="34" t="n">
        <f aca="false">IF(OR(保険一覧!$S6="",P$4&lt;保険一覧!$S6),IF(保険一覧!$J6="月払",保険一覧!$K6,IF(AND(保険一覧!$J6="年払",MONTH(P$4)=保険一覧!$R6),保険一覧!$K6,0)),0)</f>
        <v>0</v>
      </c>
      <c r="Q7" s="34" t="n">
        <f aca="false">IF(OR(保険一覧!$S6="",Q$4&lt;保険一覧!$S6),IF(保険一覧!$J6="月払",保険一覧!$K6,IF(AND(保険一覧!$J6="年払",MONTH(Q$4)=保険一覧!$R6),保険一覧!$K6,0)),0)</f>
        <v>0</v>
      </c>
      <c r="R7" s="34" t="n">
        <f aca="false">IF(OR(保険一覧!$S6="",R$4&lt;保険一覧!$S6),IF(保険一覧!$J6="月払",保険一覧!$K6,IF(AND(保険一覧!$J6="年払",MONTH(R$4)=保険一覧!$R6),保険一覧!$K6,0)),0)</f>
        <v>0</v>
      </c>
      <c r="S7" s="34" t="n">
        <f aca="false">IF(OR(保険一覧!$S6="",S$4&lt;保険一覧!$S6),IF(保険一覧!$J6="月払",保険一覧!$K6,IF(AND(保険一覧!$J6="年払",MONTH(S$4)=保険一覧!$R6),保険一覧!$K6,0)),0)</f>
        <v>0</v>
      </c>
      <c r="T7" s="34" t="n">
        <f aca="false">IF(OR(保険一覧!$S6="",T$4&lt;保険一覧!$S6),IF(保険一覧!$J6="月払",保険一覧!$K6,IF(AND(保険一覧!$J6="年払",MONTH(T$4)=保険一覧!$R6),保険一覧!$K6,0)),0)</f>
        <v>0</v>
      </c>
      <c r="U7" s="10" t="n">
        <f aca="false">SUM(C7:T7)</f>
        <v>0</v>
      </c>
      <c r="V7" s="10" t="n">
        <f aca="false">SUMIFS(C7:T7,$C$4:$T$4,"&gt;="&amp;DATE(2027,4,1),$C$4:$T$4,"&lt;="&amp;DATE(2028,3,1))</f>
        <v>0</v>
      </c>
    </row>
    <row r="8" customFormat="false" ht="15" hidden="false" customHeight="false" outlineLevel="0" collapsed="false">
      <c r="A8" s="33" t="str">
        <f aca="false">保険一覧!A7&amp;" "&amp;保険一覧!B7&amp;" "&amp;保険一覧!H7</f>
        <v>3 大同生命 Ｊ 岡田 優子</v>
      </c>
      <c r="B8" s="33"/>
      <c r="C8" s="34" t="n">
        <f aca="false">IF(OR(保険一覧!$S7="",C$4&lt;保険一覧!$S7),IF(保険一覧!$J7="月払",保険一覧!$K7,IF(AND(保険一覧!$J7="年払",MONTH(C$4)=保険一覧!$R7),保険一覧!$K7,0)),0)</f>
        <v>0</v>
      </c>
      <c r="D8" s="34" t="n">
        <f aca="false">IF(OR(保険一覧!$S7="",D$4&lt;保険一覧!$S7),IF(保険一覧!$J7="月払",保険一覧!$K7,IF(AND(保険一覧!$J7="年払",MONTH(D$4)=保険一覧!$R7),保険一覧!$K7,0)),0)</f>
        <v>0</v>
      </c>
      <c r="E8" s="34" t="n">
        <f aca="false">IF(OR(保険一覧!$S7="",E$4&lt;保険一覧!$S7),IF(保険一覧!$J7="月払",保険一覧!$K7,IF(AND(保険一覧!$J7="年払",MONTH(E$4)=保険一覧!$R7),保険一覧!$K7,0)),0)</f>
        <v>0</v>
      </c>
      <c r="F8" s="34" t="n">
        <f aca="false">IF(OR(保険一覧!$S7="",F$4&lt;保険一覧!$S7),IF(保険一覧!$J7="月払",保険一覧!$K7,IF(AND(保険一覧!$J7="年払",MONTH(F$4)=保険一覧!$R7),保険一覧!$K7,0)),0)</f>
        <v>0</v>
      </c>
      <c r="G8" s="34" t="n">
        <f aca="false">IF(OR(保険一覧!$S7="",G$4&lt;保険一覧!$S7),IF(保険一覧!$J7="月払",保険一覧!$K7,IF(AND(保険一覧!$J7="年払",MONTH(G$4)=保険一覧!$R7),保険一覧!$K7,0)),0)</f>
        <v>0</v>
      </c>
      <c r="H8" s="34" t="n">
        <f aca="false">IF(OR(保険一覧!$S7="",H$4&lt;保険一覧!$S7),IF(保険一覧!$J7="月払",保険一覧!$K7,IF(AND(保険一覧!$J7="年払",MONTH(H$4)=保険一覧!$R7),保険一覧!$K7,0)),0)</f>
        <v>0</v>
      </c>
      <c r="I8" s="34" t="n">
        <f aca="false">IF(OR(保険一覧!$S7="",I$4&lt;保険一覧!$S7),IF(保険一覧!$J7="月払",保険一覧!$K7,IF(AND(保険一覧!$J7="年払",MONTH(I$4)=保険一覧!$R7),保険一覧!$K7,0)),0)</f>
        <v>0</v>
      </c>
      <c r="J8" s="34" t="n">
        <f aca="false">IF(OR(保険一覧!$S7="",J$4&lt;保険一覧!$S7),IF(保険一覧!$J7="月払",保険一覧!$K7,IF(AND(保険一覧!$J7="年払",MONTH(J$4)=保険一覧!$R7),保険一覧!$K7,0)),0)</f>
        <v>0</v>
      </c>
      <c r="K8" s="34" t="n">
        <f aca="false">IF(OR(保険一覧!$S7="",K$4&lt;保険一覧!$S7),IF(保険一覧!$J7="月払",保険一覧!$K7,IF(AND(保険一覧!$J7="年払",MONTH(K$4)=保険一覧!$R7),保険一覧!$K7,0)),0)</f>
        <v>0</v>
      </c>
      <c r="L8" s="34" t="n">
        <f aca="false">IF(OR(保険一覧!$S7="",L$4&lt;保険一覧!$S7),IF(保険一覧!$J7="月払",保険一覧!$K7,IF(AND(保険一覧!$J7="年払",MONTH(L$4)=保険一覧!$R7),保険一覧!$K7,0)),0)</f>
        <v>0</v>
      </c>
      <c r="M8" s="34" t="n">
        <f aca="false">IF(OR(保険一覧!$S7="",M$4&lt;保険一覧!$S7),IF(保険一覧!$J7="月払",保険一覧!$K7,IF(AND(保険一覧!$J7="年払",MONTH(M$4)=保険一覧!$R7),保険一覧!$K7,0)),0)</f>
        <v>0</v>
      </c>
      <c r="N8" s="34" t="n">
        <f aca="false">IF(OR(保険一覧!$S7="",N$4&lt;保険一覧!$S7),IF(保険一覧!$J7="月払",保険一覧!$K7,IF(AND(保険一覧!$J7="年払",MONTH(N$4)=保険一覧!$R7),保険一覧!$K7,0)),0)</f>
        <v>0</v>
      </c>
      <c r="O8" s="34" t="n">
        <f aca="false">IF(OR(保険一覧!$S7="",O$4&lt;保険一覧!$S7),IF(保険一覧!$J7="月払",保険一覧!$K7,IF(AND(保険一覧!$J7="年払",MONTH(O$4)=保険一覧!$R7),保険一覧!$K7,0)),0)</f>
        <v>0</v>
      </c>
      <c r="P8" s="34" t="n">
        <f aca="false">IF(OR(保険一覧!$S7="",P$4&lt;保険一覧!$S7),IF(保険一覧!$J7="月払",保険一覧!$K7,IF(AND(保険一覧!$J7="年払",MONTH(P$4)=保険一覧!$R7),保険一覧!$K7,0)),0)</f>
        <v>0</v>
      </c>
      <c r="Q8" s="34" t="n">
        <f aca="false">IF(OR(保険一覧!$S7="",Q$4&lt;保険一覧!$S7),IF(保険一覧!$J7="月払",保険一覧!$K7,IF(AND(保険一覧!$J7="年払",MONTH(Q$4)=保険一覧!$R7),保険一覧!$K7,0)),0)</f>
        <v>0</v>
      </c>
      <c r="R8" s="34" t="n">
        <f aca="false">IF(OR(保険一覧!$S7="",R$4&lt;保険一覧!$S7),IF(保険一覧!$J7="月払",保険一覧!$K7,IF(AND(保険一覧!$J7="年払",MONTH(R$4)=保険一覧!$R7),保険一覧!$K7,0)),0)</f>
        <v>0</v>
      </c>
      <c r="S8" s="34" t="n">
        <f aca="false">IF(OR(保険一覧!$S7="",S$4&lt;保険一覧!$S7),IF(保険一覧!$J7="月払",保険一覧!$K7,IF(AND(保険一覧!$J7="年払",MONTH(S$4)=保険一覧!$R7),保険一覧!$K7,0)),0)</f>
        <v>0</v>
      </c>
      <c r="T8" s="34" t="n">
        <f aca="false">IF(OR(保険一覧!$S7="",T$4&lt;保険一覧!$S7),IF(保険一覧!$J7="月払",保険一覧!$K7,IF(AND(保険一覧!$J7="年払",MONTH(T$4)=保険一覧!$R7),保険一覧!$K7,0)),0)</f>
        <v>0</v>
      </c>
      <c r="U8" s="10" t="n">
        <f aca="false">SUM(C8:T8)</f>
        <v>0</v>
      </c>
      <c r="V8" s="10" t="n">
        <f aca="false">SUMIFS(C8:T8,$C$4:$T$4,"&gt;="&amp;DATE(2027,4,1),$C$4:$T$4,"&lt;="&amp;DATE(2028,3,1))</f>
        <v>0</v>
      </c>
    </row>
    <row r="9" customFormat="false" ht="15" hidden="false" customHeight="false" outlineLevel="0" collapsed="false">
      <c r="A9" s="33" t="str">
        <f aca="false">保険一覧!A8&amp;" "&amp;保険一覧!B8&amp;" "&amp;保険一覧!H8</f>
        <v>4 大同生命 Ｔ 岡田 優子</v>
      </c>
      <c r="B9" s="33"/>
      <c r="C9" s="34" t="n">
        <f aca="false">IF(OR(保険一覧!$S8="",C$4&lt;保険一覧!$S8),IF(保険一覧!$J8="月払",保険一覧!$K8,IF(AND(保険一覧!$J8="年払",MONTH(C$4)=保険一覧!$R8),保険一覧!$K8,0)),0)</f>
        <v>0</v>
      </c>
      <c r="D9" s="34" t="n">
        <f aca="false">IF(OR(保険一覧!$S8="",D$4&lt;保険一覧!$S8),IF(保険一覧!$J8="月払",保険一覧!$K8,IF(AND(保険一覧!$J8="年払",MONTH(D$4)=保険一覧!$R8),保険一覧!$K8,0)),0)</f>
        <v>0</v>
      </c>
      <c r="E9" s="34" t="n">
        <f aca="false">IF(OR(保険一覧!$S8="",E$4&lt;保険一覧!$S8),IF(保険一覧!$J8="月払",保険一覧!$K8,IF(AND(保険一覧!$J8="年払",MONTH(E$4)=保険一覧!$R8),保険一覧!$K8,0)),0)</f>
        <v>0</v>
      </c>
      <c r="F9" s="34" t="n">
        <f aca="false">IF(OR(保険一覧!$S8="",F$4&lt;保険一覧!$S8),IF(保険一覧!$J8="月払",保険一覧!$K8,IF(AND(保険一覧!$J8="年払",MONTH(F$4)=保険一覧!$R8),保険一覧!$K8,0)),0)</f>
        <v>0</v>
      </c>
      <c r="G9" s="34" t="n">
        <f aca="false">IF(OR(保険一覧!$S8="",G$4&lt;保険一覧!$S8),IF(保険一覧!$J8="月払",保険一覧!$K8,IF(AND(保険一覧!$J8="年払",MONTH(G$4)=保険一覧!$R8),保険一覧!$K8,0)),0)</f>
        <v>0</v>
      </c>
      <c r="H9" s="34" t="n">
        <f aca="false">IF(OR(保険一覧!$S8="",H$4&lt;保険一覧!$S8),IF(保険一覧!$J8="月払",保険一覧!$K8,IF(AND(保険一覧!$J8="年払",MONTH(H$4)=保険一覧!$R8),保険一覧!$K8,0)),0)</f>
        <v>0</v>
      </c>
      <c r="I9" s="34" t="n">
        <f aca="false">IF(OR(保険一覧!$S8="",I$4&lt;保険一覧!$S8),IF(保険一覧!$J8="月払",保険一覧!$K8,IF(AND(保険一覧!$J8="年払",MONTH(I$4)=保険一覧!$R8),保険一覧!$K8,0)),0)</f>
        <v>0</v>
      </c>
      <c r="J9" s="34" t="n">
        <f aca="false">IF(OR(保険一覧!$S8="",J$4&lt;保険一覧!$S8),IF(保険一覧!$J8="月払",保険一覧!$K8,IF(AND(保険一覧!$J8="年払",MONTH(J$4)=保険一覧!$R8),保険一覧!$K8,0)),0)</f>
        <v>0</v>
      </c>
      <c r="K9" s="34" t="n">
        <f aca="false">IF(OR(保険一覧!$S8="",K$4&lt;保険一覧!$S8),IF(保険一覧!$J8="月払",保険一覧!$K8,IF(AND(保険一覧!$J8="年払",MONTH(K$4)=保険一覧!$R8),保険一覧!$K8,0)),0)</f>
        <v>0</v>
      </c>
      <c r="L9" s="34" t="n">
        <f aca="false">IF(OR(保険一覧!$S8="",L$4&lt;保険一覧!$S8),IF(保険一覧!$J8="月払",保険一覧!$K8,IF(AND(保険一覧!$J8="年払",MONTH(L$4)=保険一覧!$R8),保険一覧!$K8,0)),0)</f>
        <v>0</v>
      </c>
      <c r="M9" s="34" t="n">
        <f aca="false">IF(OR(保険一覧!$S8="",M$4&lt;保険一覧!$S8),IF(保険一覧!$J8="月払",保険一覧!$K8,IF(AND(保険一覧!$J8="年払",MONTH(M$4)=保険一覧!$R8),保険一覧!$K8,0)),0)</f>
        <v>0</v>
      </c>
      <c r="N9" s="34" t="n">
        <f aca="false">IF(OR(保険一覧!$S8="",N$4&lt;保険一覧!$S8),IF(保険一覧!$J8="月払",保険一覧!$K8,IF(AND(保険一覧!$J8="年払",MONTH(N$4)=保険一覧!$R8),保険一覧!$K8,0)),0)</f>
        <v>0</v>
      </c>
      <c r="O9" s="34" t="n">
        <f aca="false">IF(OR(保険一覧!$S8="",O$4&lt;保険一覧!$S8),IF(保険一覧!$J8="月払",保険一覧!$K8,IF(AND(保険一覧!$J8="年払",MONTH(O$4)=保険一覧!$R8),保険一覧!$K8,0)),0)</f>
        <v>0</v>
      </c>
      <c r="P9" s="34" t="n">
        <f aca="false">IF(OR(保険一覧!$S8="",P$4&lt;保険一覧!$S8),IF(保険一覧!$J8="月払",保険一覧!$K8,IF(AND(保険一覧!$J8="年払",MONTH(P$4)=保険一覧!$R8),保険一覧!$K8,0)),0)</f>
        <v>0</v>
      </c>
      <c r="Q9" s="34" t="n">
        <f aca="false">IF(OR(保険一覧!$S8="",Q$4&lt;保険一覧!$S8),IF(保険一覧!$J8="月払",保険一覧!$K8,IF(AND(保険一覧!$J8="年払",MONTH(Q$4)=保険一覧!$R8),保険一覧!$K8,0)),0)</f>
        <v>0</v>
      </c>
      <c r="R9" s="34" t="n">
        <f aca="false">IF(OR(保険一覧!$S8="",R$4&lt;保険一覧!$S8),IF(保険一覧!$J8="月払",保険一覧!$K8,IF(AND(保険一覧!$J8="年払",MONTH(R$4)=保険一覧!$R8),保険一覧!$K8,0)),0)</f>
        <v>0</v>
      </c>
      <c r="S9" s="34" t="n">
        <f aca="false">IF(OR(保険一覧!$S8="",S$4&lt;保険一覧!$S8),IF(保険一覧!$J8="月払",保険一覧!$K8,IF(AND(保険一覧!$J8="年払",MONTH(S$4)=保険一覧!$R8),保険一覧!$K8,0)),0)</f>
        <v>0</v>
      </c>
      <c r="T9" s="34" t="n">
        <f aca="false">IF(OR(保険一覧!$S8="",T$4&lt;保険一覧!$S8),IF(保険一覧!$J8="月払",保険一覧!$K8,IF(AND(保険一覧!$J8="年払",MONTH(T$4)=保険一覧!$R8),保険一覧!$K8,0)),0)</f>
        <v>0</v>
      </c>
      <c r="U9" s="10" t="n">
        <f aca="false">SUM(C9:T9)</f>
        <v>0</v>
      </c>
      <c r="V9" s="10" t="n">
        <f aca="false">SUMIFS(C9:T9,$C$4:$T$4,"&gt;="&amp;DATE(2027,4,1),$C$4:$T$4,"&lt;="&amp;DATE(2028,3,1))</f>
        <v>0</v>
      </c>
    </row>
    <row r="10" customFormat="false" ht="15" hidden="false" customHeight="false" outlineLevel="0" collapsed="false">
      <c r="A10" s="33" t="str">
        <f aca="false">保険一覧!A9&amp;" "&amp;保険一覧!B9&amp;" "&amp;保険一覧!H9</f>
        <v>5 大同生命 坂本 武</v>
      </c>
      <c r="B10" s="33"/>
      <c r="C10" s="34" t="n">
        <f aca="false">IF(OR(保険一覧!$S9="",C$4&lt;保険一覧!$S9),IF(保険一覧!$J9="月払",保険一覧!$K9,IF(AND(保険一覧!$J9="年払",MONTH(C$4)=保険一覧!$R9),保険一覧!$K9,0)),0)</f>
        <v>22820</v>
      </c>
      <c r="D10" s="34" t="n">
        <f aca="false">IF(OR(保険一覧!$S9="",D$4&lt;保険一覧!$S9),IF(保険一覧!$J9="月払",保険一覧!$K9,IF(AND(保険一覧!$J9="年払",MONTH(D$4)=保険一覧!$R9),保険一覧!$K9,0)),0)</f>
        <v>22820</v>
      </c>
      <c r="E10" s="34" t="n">
        <f aca="false">IF(OR(保険一覧!$S9="",E$4&lt;保険一覧!$S9),IF(保険一覧!$J9="月払",保険一覧!$K9,IF(AND(保険一覧!$J9="年払",MONTH(E$4)=保険一覧!$R9),保険一覧!$K9,0)),0)</f>
        <v>22820</v>
      </c>
      <c r="F10" s="34" t="n">
        <f aca="false">IF(OR(保険一覧!$S9="",F$4&lt;保険一覧!$S9),IF(保険一覧!$J9="月払",保険一覧!$K9,IF(AND(保険一覧!$J9="年払",MONTH(F$4)=保険一覧!$R9),保険一覧!$K9,0)),0)</f>
        <v>22820</v>
      </c>
      <c r="G10" s="34" t="n">
        <f aca="false">IF(OR(保険一覧!$S9="",G$4&lt;保険一覧!$S9),IF(保険一覧!$J9="月払",保険一覧!$K9,IF(AND(保険一覧!$J9="年払",MONTH(G$4)=保険一覧!$R9),保険一覧!$K9,0)),0)</f>
        <v>22820</v>
      </c>
      <c r="H10" s="34" t="n">
        <f aca="false">IF(OR(保険一覧!$S9="",H$4&lt;保険一覧!$S9),IF(保険一覧!$J9="月払",保険一覧!$K9,IF(AND(保険一覧!$J9="年払",MONTH(H$4)=保険一覧!$R9),保険一覧!$K9,0)),0)</f>
        <v>22820</v>
      </c>
      <c r="I10" s="34" t="n">
        <f aca="false">IF(OR(保険一覧!$S9="",I$4&lt;保険一覧!$S9),IF(保険一覧!$J9="月払",保険一覧!$K9,IF(AND(保険一覧!$J9="年払",MONTH(I$4)=保険一覧!$R9),保険一覧!$K9,0)),0)</f>
        <v>22820</v>
      </c>
      <c r="J10" s="34" t="n">
        <f aca="false">IF(OR(保険一覧!$S9="",J$4&lt;保険一覧!$S9),IF(保険一覧!$J9="月払",保険一覧!$K9,IF(AND(保険一覧!$J9="年払",MONTH(J$4)=保険一覧!$R9),保険一覧!$K9,0)),0)</f>
        <v>22820</v>
      </c>
      <c r="K10" s="34" t="n">
        <f aca="false">IF(OR(保険一覧!$S9="",K$4&lt;保険一覧!$S9),IF(保険一覧!$J9="月払",保険一覧!$K9,IF(AND(保険一覧!$J9="年払",MONTH(K$4)=保険一覧!$R9),保険一覧!$K9,0)),0)</f>
        <v>22820</v>
      </c>
      <c r="L10" s="34" t="n">
        <f aca="false">IF(OR(保険一覧!$S9="",L$4&lt;保険一覧!$S9),IF(保険一覧!$J9="月払",保険一覧!$K9,IF(AND(保険一覧!$J9="年払",MONTH(L$4)=保険一覧!$R9),保険一覧!$K9,0)),0)</f>
        <v>22820</v>
      </c>
      <c r="M10" s="34" t="n">
        <f aca="false">IF(OR(保険一覧!$S9="",M$4&lt;保険一覧!$S9),IF(保険一覧!$J9="月払",保険一覧!$K9,IF(AND(保険一覧!$J9="年払",MONTH(M$4)=保険一覧!$R9),保険一覧!$K9,0)),0)</f>
        <v>22820</v>
      </c>
      <c r="N10" s="34" t="n">
        <f aca="false">IF(OR(保険一覧!$S9="",N$4&lt;保険一覧!$S9),IF(保険一覧!$J9="月払",保険一覧!$K9,IF(AND(保険一覧!$J9="年払",MONTH(N$4)=保険一覧!$R9),保険一覧!$K9,0)),0)</f>
        <v>22820</v>
      </c>
      <c r="O10" s="34" t="n">
        <f aca="false">IF(OR(保険一覧!$S9="",O$4&lt;保険一覧!$S9),IF(保険一覧!$J9="月払",保険一覧!$K9,IF(AND(保険一覧!$J9="年払",MONTH(O$4)=保険一覧!$R9),保険一覧!$K9,0)),0)</f>
        <v>22820</v>
      </c>
      <c r="P10" s="34" t="n">
        <f aca="false">IF(OR(保険一覧!$S9="",P$4&lt;保険一覧!$S9),IF(保険一覧!$J9="月払",保険一覧!$K9,IF(AND(保険一覧!$J9="年払",MONTH(P$4)=保険一覧!$R9),保険一覧!$K9,0)),0)</f>
        <v>22820</v>
      </c>
      <c r="Q10" s="34" t="n">
        <f aca="false">IF(OR(保険一覧!$S9="",Q$4&lt;保険一覧!$S9),IF(保険一覧!$J9="月払",保険一覧!$K9,IF(AND(保険一覧!$J9="年払",MONTH(Q$4)=保険一覧!$R9),保険一覧!$K9,0)),0)</f>
        <v>22820</v>
      </c>
      <c r="R10" s="34" t="n">
        <f aca="false">IF(OR(保険一覧!$S9="",R$4&lt;保険一覧!$S9),IF(保険一覧!$J9="月払",保険一覧!$K9,IF(AND(保険一覧!$J9="年払",MONTH(R$4)=保険一覧!$R9),保険一覧!$K9,0)),0)</f>
        <v>22820</v>
      </c>
      <c r="S10" s="34" t="n">
        <f aca="false">IF(OR(保険一覧!$S9="",S$4&lt;保険一覧!$S9),IF(保険一覧!$J9="月払",保険一覧!$K9,IF(AND(保険一覧!$J9="年払",MONTH(S$4)=保険一覧!$R9),保険一覧!$K9,0)),0)</f>
        <v>22820</v>
      </c>
      <c r="T10" s="34" t="n">
        <f aca="false">IF(OR(保険一覧!$S9="",T$4&lt;保険一覧!$S9),IF(保険一覧!$J9="月払",保険一覧!$K9,IF(AND(保険一覧!$J9="年払",MONTH(T$4)=保険一覧!$R9),保険一覧!$K9,0)),0)</f>
        <v>22820</v>
      </c>
      <c r="U10" s="10" t="n">
        <f aca="false">SUM(C10:T10)</f>
        <v>410760</v>
      </c>
      <c r="V10" s="10" t="n">
        <f aca="false">SUMIFS(C10:T10,$C$4:$T$4,"&gt;="&amp;DATE(2027,4,1),$C$4:$T$4,"&lt;="&amp;DATE(2028,3,1))</f>
        <v>273840</v>
      </c>
    </row>
    <row r="11" customFormat="false" ht="15" hidden="false" customHeight="false" outlineLevel="0" collapsed="false">
      <c r="A11" s="33" t="str">
        <f aca="false">保険一覧!A10&amp;" "&amp;保険一覧!B10&amp;" "&amp;保険一覧!H10</f>
        <v>6 大同生命 横山 清美</v>
      </c>
      <c r="B11" s="33"/>
      <c r="C11" s="34" t="n">
        <f aca="false">IF(OR(保険一覧!$S10="",C$4&lt;保険一覧!$S10),IF(保険一覧!$J10="月払",保険一覧!$K10,IF(AND(保険一覧!$J10="年払",MONTH(C$4)=保険一覧!$R10),保険一覧!$K10,0)),0)</f>
        <v>49130</v>
      </c>
      <c r="D11" s="34" t="n">
        <f aca="false">IF(OR(保険一覧!$S10="",D$4&lt;保険一覧!$S10),IF(保険一覧!$J10="月払",保険一覧!$K10,IF(AND(保険一覧!$J10="年払",MONTH(D$4)=保険一覧!$R10),保険一覧!$K10,0)),0)</f>
        <v>49130</v>
      </c>
      <c r="E11" s="34" t="n">
        <f aca="false">IF(OR(保険一覧!$S10="",E$4&lt;保険一覧!$S10),IF(保険一覧!$J10="月払",保険一覧!$K10,IF(AND(保険一覧!$J10="年払",MONTH(E$4)=保険一覧!$R10),保険一覧!$K10,0)),0)</f>
        <v>49130</v>
      </c>
      <c r="F11" s="34" t="n">
        <f aca="false">IF(OR(保険一覧!$S10="",F$4&lt;保険一覧!$S10),IF(保険一覧!$J10="月払",保険一覧!$K10,IF(AND(保険一覧!$J10="年払",MONTH(F$4)=保険一覧!$R10),保険一覧!$K10,0)),0)</f>
        <v>49130</v>
      </c>
      <c r="G11" s="34" t="n">
        <f aca="false">IF(OR(保険一覧!$S10="",G$4&lt;保険一覧!$S10),IF(保険一覧!$J10="月払",保険一覧!$K10,IF(AND(保険一覧!$J10="年払",MONTH(G$4)=保険一覧!$R10),保険一覧!$K10,0)),0)</f>
        <v>49130</v>
      </c>
      <c r="H11" s="34" t="n">
        <f aca="false">IF(OR(保険一覧!$S10="",H$4&lt;保険一覧!$S10),IF(保険一覧!$J10="月払",保険一覧!$K10,IF(AND(保険一覧!$J10="年払",MONTH(H$4)=保険一覧!$R10),保険一覧!$K10,0)),0)</f>
        <v>49130</v>
      </c>
      <c r="I11" s="34" t="n">
        <f aca="false">IF(OR(保険一覧!$S10="",I$4&lt;保険一覧!$S10),IF(保険一覧!$J10="月払",保険一覧!$K10,IF(AND(保険一覧!$J10="年払",MONTH(I$4)=保険一覧!$R10),保険一覧!$K10,0)),0)</f>
        <v>49130</v>
      </c>
      <c r="J11" s="34" t="n">
        <f aca="false">IF(OR(保険一覧!$S10="",J$4&lt;保険一覧!$S10),IF(保険一覧!$J10="月払",保険一覧!$K10,IF(AND(保険一覧!$J10="年払",MONTH(J$4)=保険一覧!$R10),保険一覧!$K10,0)),0)</f>
        <v>49130</v>
      </c>
      <c r="K11" s="34" t="n">
        <f aca="false">IF(OR(保険一覧!$S10="",K$4&lt;保険一覧!$S10),IF(保険一覧!$J10="月払",保険一覧!$K10,IF(AND(保険一覧!$J10="年払",MONTH(K$4)=保険一覧!$R10),保険一覧!$K10,0)),0)</f>
        <v>49130</v>
      </c>
      <c r="L11" s="34" t="n">
        <f aca="false">IF(OR(保険一覧!$S10="",L$4&lt;保険一覧!$S10),IF(保険一覧!$J10="月払",保険一覧!$K10,IF(AND(保険一覧!$J10="年払",MONTH(L$4)=保険一覧!$R10),保険一覧!$K10,0)),0)</f>
        <v>49130</v>
      </c>
      <c r="M11" s="34" t="n">
        <f aca="false">IF(OR(保険一覧!$S10="",M$4&lt;保険一覧!$S10),IF(保険一覧!$J10="月払",保険一覧!$K10,IF(AND(保険一覧!$J10="年払",MONTH(M$4)=保険一覧!$R10),保険一覧!$K10,0)),0)</f>
        <v>49130</v>
      </c>
      <c r="N11" s="34" t="n">
        <f aca="false">IF(OR(保険一覧!$S10="",N$4&lt;保険一覧!$S10),IF(保険一覧!$J10="月払",保険一覧!$K10,IF(AND(保険一覧!$J10="年払",MONTH(N$4)=保険一覧!$R10),保険一覧!$K10,0)),0)</f>
        <v>49130</v>
      </c>
      <c r="O11" s="34" t="n">
        <f aca="false">IF(OR(保険一覧!$S10="",O$4&lt;保険一覧!$S10),IF(保険一覧!$J10="月払",保険一覧!$K10,IF(AND(保険一覧!$J10="年払",MONTH(O$4)=保険一覧!$R10),保険一覧!$K10,0)),0)</f>
        <v>49130</v>
      </c>
      <c r="P11" s="34" t="n">
        <f aca="false">IF(OR(保険一覧!$S10="",P$4&lt;保険一覧!$S10),IF(保険一覧!$J10="月払",保険一覧!$K10,IF(AND(保険一覧!$J10="年払",MONTH(P$4)=保険一覧!$R10),保険一覧!$K10,0)),0)</f>
        <v>49130</v>
      </c>
      <c r="Q11" s="34" t="n">
        <f aca="false">IF(OR(保険一覧!$S10="",Q$4&lt;保険一覧!$S10),IF(保険一覧!$J10="月払",保険一覧!$K10,IF(AND(保険一覧!$J10="年払",MONTH(Q$4)=保険一覧!$R10),保険一覧!$K10,0)),0)</f>
        <v>49130</v>
      </c>
      <c r="R11" s="34" t="n">
        <f aca="false">IF(OR(保険一覧!$S10="",R$4&lt;保険一覧!$S10),IF(保険一覧!$J10="月払",保険一覧!$K10,IF(AND(保険一覧!$J10="年払",MONTH(R$4)=保険一覧!$R10),保険一覧!$K10,0)),0)</f>
        <v>49130</v>
      </c>
      <c r="S11" s="34" t="n">
        <f aca="false">IF(OR(保険一覧!$S10="",S$4&lt;保険一覧!$S10),IF(保険一覧!$J10="月払",保険一覧!$K10,IF(AND(保険一覧!$J10="年払",MONTH(S$4)=保険一覧!$R10),保険一覧!$K10,0)),0)</f>
        <v>49130</v>
      </c>
      <c r="T11" s="34" t="n">
        <f aca="false">IF(OR(保険一覧!$S10="",T$4&lt;保険一覧!$S10),IF(保険一覧!$J10="月払",保険一覧!$K10,IF(AND(保険一覧!$J10="年払",MONTH(T$4)=保険一覧!$R10),保険一覧!$K10,0)),0)</f>
        <v>49130</v>
      </c>
      <c r="U11" s="10" t="n">
        <f aca="false">SUM(C11:T11)</f>
        <v>884340</v>
      </c>
      <c r="V11" s="10" t="n">
        <f aca="false">SUMIFS(C11:T11,$C$4:$T$4,"&gt;="&amp;DATE(2027,4,1),$C$4:$T$4,"&lt;="&amp;DATE(2028,3,1))</f>
        <v>589560</v>
      </c>
    </row>
    <row r="12" customFormat="false" ht="15" hidden="false" customHeight="false" outlineLevel="0" collapsed="false">
      <c r="A12" s="33" t="str">
        <f aca="false">保険一覧!A11&amp;" "&amp;保険一覧!B11&amp;" "&amp;保険一覧!H11</f>
        <v>7 大同生命 坂本 武</v>
      </c>
      <c r="B12" s="33"/>
      <c r="C12" s="34" t="n">
        <f aca="false">IF(OR(保険一覧!$S11="",C$4&lt;保険一覧!$S11),IF(保険一覧!$J11="月払",保険一覧!$K11,IF(AND(保険一覧!$J11="年払",MONTH(C$4)=保険一覧!$R11),保険一覧!$K11,0)),0)</f>
        <v>505120</v>
      </c>
      <c r="D12" s="34" t="n">
        <f aca="false">IF(OR(保険一覧!$S11="",D$4&lt;保険一覧!$S11),IF(保険一覧!$J11="月払",保険一覧!$K11,IF(AND(保険一覧!$J11="年払",MONTH(D$4)=保険一覧!$R11),保険一覧!$K11,0)),0)</f>
        <v>505120</v>
      </c>
      <c r="E12" s="34" t="n">
        <f aca="false">IF(OR(保険一覧!$S11="",E$4&lt;保険一覧!$S11),IF(保険一覧!$J11="月払",保険一覧!$K11,IF(AND(保険一覧!$J11="年払",MONTH(E$4)=保険一覧!$R11),保険一覧!$K11,0)),0)</f>
        <v>505120</v>
      </c>
      <c r="F12" s="34" t="n">
        <f aca="false">IF(OR(保険一覧!$S11="",F$4&lt;保険一覧!$S11),IF(保険一覧!$J11="月払",保険一覧!$K11,IF(AND(保険一覧!$J11="年払",MONTH(F$4)=保険一覧!$R11),保険一覧!$K11,0)),0)</f>
        <v>505120</v>
      </c>
      <c r="G12" s="34" t="n">
        <f aca="false">IF(OR(保険一覧!$S11="",G$4&lt;保険一覧!$S11),IF(保険一覧!$J11="月払",保険一覧!$K11,IF(AND(保険一覧!$J11="年払",MONTH(G$4)=保険一覧!$R11),保険一覧!$K11,0)),0)</f>
        <v>505120</v>
      </c>
      <c r="H12" s="34" t="n">
        <f aca="false">IF(OR(保険一覧!$S11="",H$4&lt;保険一覧!$S11),IF(保険一覧!$J11="月払",保険一覧!$K11,IF(AND(保険一覧!$J11="年払",MONTH(H$4)=保険一覧!$R11),保険一覧!$K11,0)),0)</f>
        <v>505120</v>
      </c>
      <c r="I12" s="34" t="n">
        <f aca="false">IF(OR(保険一覧!$S11="",I$4&lt;保険一覧!$S11),IF(保険一覧!$J11="月払",保険一覧!$K11,IF(AND(保険一覧!$J11="年払",MONTH(I$4)=保険一覧!$R11),保険一覧!$K11,0)),0)</f>
        <v>505120</v>
      </c>
      <c r="J12" s="34" t="n">
        <f aca="false">IF(OR(保険一覧!$S11="",J$4&lt;保険一覧!$S11),IF(保険一覧!$J11="月払",保険一覧!$K11,IF(AND(保険一覧!$J11="年払",MONTH(J$4)=保険一覧!$R11),保険一覧!$K11,0)),0)</f>
        <v>505120</v>
      </c>
      <c r="K12" s="34" t="n">
        <f aca="false">IF(OR(保険一覧!$S11="",K$4&lt;保険一覧!$S11),IF(保険一覧!$J11="月払",保険一覧!$K11,IF(AND(保険一覧!$J11="年払",MONTH(K$4)=保険一覧!$R11),保険一覧!$K11,0)),0)</f>
        <v>505120</v>
      </c>
      <c r="L12" s="34" t="n">
        <f aca="false">IF(OR(保険一覧!$S11="",L$4&lt;保険一覧!$S11),IF(保険一覧!$J11="月払",保険一覧!$K11,IF(AND(保険一覧!$J11="年払",MONTH(L$4)=保険一覧!$R11),保険一覧!$K11,0)),0)</f>
        <v>505120</v>
      </c>
      <c r="M12" s="34" t="n">
        <f aca="false">IF(OR(保険一覧!$S11="",M$4&lt;保険一覧!$S11),IF(保険一覧!$J11="月払",保険一覧!$K11,IF(AND(保険一覧!$J11="年払",MONTH(M$4)=保険一覧!$R11),保険一覧!$K11,0)),0)</f>
        <v>505120</v>
      </c>
      <c r="N12" s="34" t="n">
        <f aca="false">IF(OR(保険一覧!$S11="",N$4&lt;保険一覧!$S11),IF(保険一覧!$J11="月払",保険一覧!$K11,IF(AND(保険一覧!$J11="年払",MONTH(N$4)=保険一覧!$R11),保険一覧!$K11,0)),0)</f>
        <v>505120</v>
      </c>
      <c r="O12" s="34" t="n">
        <f aca="false">IF(OR(保険一覧!$S11="",O$4&lt;保険一覧!$S11),IF(保険一覧!$J11="月払",保険一覧!$K11,IF(AND(保険一覧!$J11="年払",MONTH(O$4)=保険一覧!$R11),保険一覧!$K11,0)),0)</f>
        <v>505120</v>
      </c>
      <c r="P12" s="34" t="n">
        <f aca="false">IF(OR(保険一覧!$S11="",P$4&lt;保険一覧!$S11),IF(保険一覧!$J11="月払",保険一覧!$K11,IF(AND(保険一覧!$J11="年払",MONTH(P$4)=保険一覧!$R11),保険一覧!$K11,0)),0)</f>
        <v>505120</v>
      </c>
      <c r="Q12" s="34" t="n">
        <f aca="false">IF(OR(保険一覧!$S11="",Q$4&lt;保険一覧!$S11),IF(保険一覧!$J11="月払",保険一覧!$K11,IF(AND(保険一覧!$J11="年払",MONTH(Q$4)=保険一覧!$R11),保険一覧!$K11,0)),0)</f>
        <v>505120</v>
      </c>
      <c r="R12" s="34" t="n">
        <f aca="false">IF(OR(保険一覧!$S11="",R$4&lt;保険一覧!$S11),IF(保険一覧!$J11="月払",保険一覧!$K11,IF(AND(保険一覧!$J11="年払",MONTH(R$4)=保険一覧!$R11),保険一覧!$K11,0)),0)</f>
        <v>505120</v>
      </c>
      <c r="S12" s="34" t="n">
        <f aca="false">IF(OR(保険一覧!$S11="",S$4&lt;保険一覧!$S11),IF(保険一覧!$J11="月払",保険一覧!$K11,IF(AND(保険一覧!$J11="年払",MONTH(S$4)=保険一覧!$R11),保険一覧!$K11,0)),0)</f>
        <v>505120</v>
      </c>
      <c r="T12" s="34" t="n">
        <f aca="false">IF(OR(保険一覧!$S11="",T$4&lt;保険一覧!$S11),IF(保険一覧!$J11="月払",保険一覧!$K11,IF(AND(保険一覧!$J11="年払",MONTH(T$4)=保険一覧!$R11),保険一覧!$K11,0)),0)</f>
        <v>505120</v>
      </c>
      <c r="U12" s="10" t="n">
        <f aca="false">SUM(C12:T12)</f>
        <v>9092160</v>
      </c>
      <c r="V12" s="10" t="n">
        <f aca="false">SUMIFS(C12:T12,$C$4:$T$4,"&gt;="&amp;DATE(2027,4,1),$C$4:$T$4,"&lt;="&amp;DATE(2028,3,1))</f>
        <v>6061440</v>
      </c>
    </row>
    <row r="13" customFormat="false" ht="15" hidden="false" customHeight="false" outlineLevel="0" collapsed="false">
      <c r="A13" s="33" t="str">
        <f aca="false">保険一覧!A12&amp;" "&amp;保険一覧!B12&amp;" "&amp;保険一覧!H12</f>
        <v>8 大同生命 横山 清美</v>
      </c>
      <c r="B13" s="33"/>
      <c r="C13" s="34" t="n">
        <f aca="false">IF(OR(保険一覧!$S12="",C$4&lt;保険一覧!$S12),IF(保険一覧!$J12="月払",保険一覧!$K12,IF(AND(保険一覧!$J12="年払",MONTH(C$4)=保険一覧!$R12),保険一覧!$K12,0)),0)</f>
        <v>57687</v>
      </c>
      <c r="D13" s="34" t="n">
        <f aca="false">IF(OR(保険一覧!$S12="",D$4&lt;保険一覧!$S12),IF(保険一覧!$J12="月払",保険一覧!$K12,IF(AND(保険一覧!$J12="年払",MONTH(D$4)=保険一覧!$R12),保険一覧!$K12,0)),0)</f>
        <v>57687</v>
      </c>
      <c r="E13" s="34" t="n">
        <f aca="false">IF(OR(保険一覧!$S12="",E$4&lt;保険一覧!$S12),IF(保険一覧!$J12="月払",保険一覧!$K12,IF(AND(保険一覧!$J12="年払",MONTH(E$4)=保険一覧!$R12),保険一覧!$K12,0)),0)</f>
        <v>57687</v>
      </c>
      <c r="F13" s="34" t="n">
        <f aca="false">IF(OR(保険一覧!$S12="",F$4&lt;保険一覧!$S12),IF(保険一覧!$J12="月払",保険一覧!$K12,IF(AND(保険一覧!$J12="年払",MONTH(F$4)=保険一覧!$R12),保険一覧!$K12,0)),0)</f>
        <v>57687</v>
      </c>
      <c r="G13" s="34" t="n">
        <f aca="false">IF(OR(保険一覧!$S12="",G$4&lt;保険一覧!$S12),IF(保険一覧!$J12="月払",保険一覧!$K12,IF(AND(保険一覧!$J12="年払",MONTH(G$4)=保険一覧!$R12),保険一覧!$K12,0)),0)</f>
        <v>57687</v>
      </c>
      <c r="H13" s="34" t="n">
        <f aca="false">IF(OR(保険一覧!$S12="",H$4&lt;保険一覧!$S12),IF(保険一覧!$J12="月払",保険一覧!$K12,IF(AND(保険一覧!$J12="年払",MONTH(H$4)=保険一覧!$R12),保険一覧!$K12,0)),0)</f>
        <v>57687</v>
      </c>
      <c r="I13" s="34" t="n">
        <f aca="false">IF(OR(保険一覧!$S12="",I$4&lt;保険一覧!$S12),IF(保険一覧!$J12="月払",保険一覧!$K12,IF(AND(保険一覧!$J12="年払",MONTH(I$4)=保険一覧!$R12),保険一覧!$K12,0)),0)</f>
        <v>57687</v>
      </c>
      <c r="J13" s="34" t="n">
        <f aca="false">IF(OR(保険一覧!$S12="",J$4&lt;保険一覧!$S12),IF(保険一覧!$J12="月払",保険一覧!$K12,IF(AND(保険一覧!$J12="年払",MONTH(J$4)=保険一覧!$R12),保険一覧!$K12,0)),0)</f>
        <v>57687</v>
      </c>
      <c r="K13" s="34" t="n">
        <f aca="false">IF(OR(保険一覧!$S12="",K$4&lt;保険一覧!$S12),IF(保険一覧!$J12="月払",保険一覧!$K12,IF(AND(保険一覧!$J12="年払",MONTH(K$4)=保険一覧!$R12),保険一覧!$K12,0)),0)</f>
        <v>57687</v>
      </c>
      <c r="L13" s="34" t="n">
        <f aca="false">IF(OR(保険一覧!$S12="",L$4&lt;保険一覧!$S12),IF(保険一覧!$J12="月払",保険一覧!$K12,IF(AND(保険一覧!$J12="年払",MONTH(L$4)=保険一覧!$R12),保険一覧!$K12,0)),0)</f>
        <v>57687</v>
      </c>
      <c r="M13" s="34" t="n">
        <f aca="false">IF(OR(保険一覧!$S12="",M$4&lt;保険一覧!$S12),IF(保険一覧!$J12="月払",保険一覧!$K12,IF(AND(保険一覧!$J12="年払",MONTH(M$4)=保険一覧!$R12),保険一覧!$K12,0)),0)</f>
        <v>57687</v>
      </c>
      <c r="N13" s="34" t="n">
        <f aca="false">IF(OR(保険一覧!$S12="",N$4&lt;保険一覧!$S12),IF(保険一覧!$J12="月払",保険一覧!$K12,IF(AND(保険一覧!$J12="年払",MONTH(N$4)=保険一覧!$R12),保険一覧!$K12,0)),0)</f>
        <v>57687</v>
      </c>
      <c r="O13" s="34" t="n">
        <f aca="false">IF(OR(保険一覧!$S12="",O$4&lt;保険一覧!$S12),IF(保険一覧!$J12="月払",保険一覧!$K12,IF(AND(保険一覧!$J12="年払",MONTH(O$4)=保険一覧!$R12),保険一覧!$K12,0)),0)</f>
        <v>57687</v>
      </c>
      <c r="P13" s="34" t="n">
        <f aca="false">IF(OR(保険一覧!$S12="",P$4&lt;保険一覧!$S12),IF(保険一覧!$J12="月払",保険一覧!$K12,IF(AND(保険一覧!$J12="年払",MONTH(P$4)=保険一覧!$R12),保険一覧!$K12,0)),0)</f>
        <v>57687</v>
      </c>
      <c r="Q13" s="34" t="n">
        <f aca="false">IF(OR(保険一覧!$S12="",Q$4&lt;保険一覧!$S12),IF(保険一覧!$J12="月払",保険一覧!$K12,IF(AND(保険一覧!$J12="年払",MONTH(Q$4)=保険一覧!$R12),保険一覧!$K12,0)),0)</f>
        <v>57687</v>
      </c>
      <c r="R13" s="34" t="n">
        <f aca="false">IF(OR(保険一覧!$S12="",R$4&lt;保険一覧!$S12),IF(保険一覧!$J12="月払",保険一覧!$K12,IF(AND(保険一覧!$J12="年払",MONTH(R$4)=保険一覧!$R12),保険一覧!$K12,0)),0)</f>
        <v>57687</v>
      </c>
      <c r="S13" s="34" t="n">
        <f aca="false">IF(OR(保険一覧!$S12="",S$4&lt;保険一覧!$S12),IF(保険一覧!$J12="月払",保険一覧!$K12,IF(AND(保険一覧!$J12="年払",MONTH(S$4)=保険一覧!$R12),保険一覧!$K12,0)),0)</f>
        <v>57687</v>
      </c>
      <c r="T13" s="34" t="n">
        <f aca="false">IF(OR(保険一覧!$S12="",T$4&lt;保険一覧!$S12),IF(保険一覧!$J12="月払",保険一覧!$K12,IF(AND(保険一覧!$J12="年払",MONTH(T$4)=保険一覧!$R12),保険一覧!$K12,0)),0)</f>
        <v>57687</v>
      </c>
      <c r="U13" s="10" t="n">
        <f aca="false">SUM(C13:T13)</f>
        <v>1038366</v>
      </c>
      <c r="V13" s="10" t="n">
        <f aca="false">SUMIFS(C13:T13,$C$4:$T$4,"&gt;="&amp;DATE(2027,4,1),$C$4:$T$4,"&lt;="&amp;DATE(2028,3,1))</f>
        <v>692244</v>
      </c>
    </row>
    <row r="14" customFormat="false" ht="15" hidden="false" customHeight="false" outlineLevel="0" collapsed="false">
      <c r="A14" s="33" t="str">
        <f aca="false">保険一覧!A13&amp;" "&amp;保険一覧!B13&amp;" "&amp;保険一覧!H13</f>
        <v>9 大同生命 坂本 麻莉</v>
      </c>
      <c r="B14" s="33"/>
      <c r="C14" s="34" t="n">
        <f aca="false">IF(OR(保険一覧!$S13="",C$4&lt;保険一覧!$S13),IF(保険一覧!$J13="月払",保険一覧!$K13,IF(AND(保険一覧!$J13="年払",MONTH(C$4)=保険一覧!$R13),保険一覧!$K13,0)),0)</f>
        <v>179573</v>
      </c>
      <c r="D14" s="34" t="n">
        <f aca="false">IF(OR(保険一覧!$S13="",D$4&lt;保険一覧!$S13),IF(保険一覧!$J13="月払",保険一覧!$K13,IF(AND(保険一覧!$J13="年払",MONTH(D$4)=保険一覧!$R13),保険一覧!$K13,0)),0)</f>
        <v>179573</v>
      </c>
      <c r="E14" s="34" t="n">
        <f aca="false">IF(OR(保険一覧!$S13="",E$4&lt;保険一覧!$S13),IF(保険一覧!$J13="月払",保険一覧!$K13,IF(AND(保険一覧!$J13="年払",MONTH(E$4)=保険一覧!$R13),保険一覧!$K13,0)),0)</f>
        <v>179573</v>
      </c>
      <c r="F14" s="34" t="n">
        <f aca="false">IF(OR(保険一覧!$S13="",F$4&lt;保険一覧!$S13),IF(保険一覧!$J13="月払",保険一覧!$K13,IF(AND(保険一覧!$J13="年払",MONTH(F$4)=保険一覧!$R13),保険一覧!$K13,0)),0)</f>
        <v>179573</v>
      </c>
      <c r="G14" s="34" t="n">
        <f aca="false">IF(OR(保険一覧!$S13="",G$4&lt;保険一覧!$S13),IF(保険一覧!$J13="月払",保険一覧!$K13,IF(AND(保険一覧!$J13="年払",MONTH(G$4)=保険一覧!$R13),保険一覧!$K13,0)),0)</f>
        <v>179573</v>
      </c>
      <c r="H14" s="34" t="n">
        <f aca="false">IF(OR(保険一覧!$S13="",H$4&lt;保険一覧!$S13),IF(保険一覧!$J13="月払",保険一覧!$K13,IF(AND(保険一覧!$J13="年払",MONTH(H$4)=保険一覧!$R13),保険一覧!$K13,0)),0)</f>
        <v>179573</v>
      </c>
      <c r="I14" s="34" t="n">
        <f aca="false">IF(OR(保険一覧!$S13="",I$4&lt;保険一覧!$S13),IF(保険一覧!$J13="月払",保険一覧!$K13,IF(AND(保険一覧!$J13="年払",MONTH(I$4)=保険一覧!$R13),保険一覧!$K13,0)),0)</f>
        <v>179573</v>
      </c>
      <c r="J14" s="34" t="n">
        <f aca="false">IF(OR(保険一覧!$S13="",J$4&lt;保険一覧!$S13),IF(保険一覧!$J13="月払",保険一覧!$K13,IF(AND(保険一覧!$J13="年払",MONTH(J$4)=保険一覧!$R13),保険一覧!$K13,0)),0)</f>
        <v>179573</v>
      </c>
      <c r="K14" s="34" t="n">
        <f aca="false">IF(OR(保険一覧!$S13="",K$4&lt;保険一覧!$S13),IF(保険一覧!$J13="月払",保険一覧!$K13,IF(AND(保険一覧!$J13="年払",MONTH(K$4)=保険一覧!$R13),保険一覧!$K13,0)),0)</f>
        <v>179573</v>
      </c>
      <c r="L14" s="34" t="n">
        <f aca="false">IF(OR(保険一覧!$S13="",L$4&lt;保険一覧!$S13),IF(保険一覧!$J13="月払",保険一覧!$K13,IF(AND(保険一覧!$J13="年払",MONTH(L$4)=保険一覧!$R13),保険一覧!$K13,0)),0)</f>
        <v>179573</v>
      </c>
      <c r="M14" s="34" t="n">
        <f aca="false">IF(OR(保険一覧!$S13="",M$4&lt;保険一覧!$S13),IF(保険一覧!$J13="月払",保険一覧!$K13,IF(AND(保険一覧!$J13="年払",MONTH(M$4)=保険一覧!$R13),保険一覧!$K13,0)),0)</f>
        <v>179573</v>
      </c>
      <c r="N14" s="34" t="n">
        <f aca="false">IF(OR(保険一覧!$S13="",N$4&lt;保険一覧!$S13),IF(保険一覧!$J13="月払",保険一覧!$K13,IF(AND(保険一覧!$J13="年払",MONTH(N$4)=保険一覧!$R13),保険一覧!$K13,0)),0)</f>
        <v>179573</v>
      </c>
      <c r="O14" s="34" t="n">
        <f aca="false">IF(OR(保険一覧!$S13="",O$4&lt;保険一覧!$S13),IF(保険一覧!$J13="月払",保険一覧!$K13,IF(AND(保険一覧!$J13="年払",MONTH(O$4)=保険一覧!$R13),保険一覧!$K13,0)),0)</f>
        <v>179573</v>
      </c>
      <c r="P14" s="34" t="n">
        <f aca="false">IF(OR(保険一覧!$S13="",P$4&lt;保険一覧!$S13),IF(保険一覧!$J13="月払",保険一覧!$K13,IF(AND(保険一覧!$J13="年払",MONTH(P$4)=保険一覧!$R13),保険一覧!$K13,0)),0)</f>
        <v>179573</v>
      </c>
      <c r="Q14" s="34" t="n">
        <f aca="false">IF(OR(保険一覧!$S13="",Q$4&lt;保険一覧!$S13),IF(保険一覧!$J13="月払",保険一覧!$K13,IF(AND(保険一覧!$J13="年払",MONTH(Q$4)=保険一覧!$R13),保険一覧!$K13,0)),0)</f>
        <v>179573</v>
      </c>
      <c r="R14" s="34" t="n">
        <f aca="false">IF(OR(保険一覧!$S13="",R$4&lt;保険一覧!$S13),IF(保険一覧!$J13="月払",保険一覧!$K13,IF(AND(保険一覧!$J13="年払",MONTH(R$4)=保険一覧!$R13),保険一覧!$K13,0)),0)</f>
        <v>179573</v>
      </c>
      <c r="S14" s="34" t="n">
        <f aca="false">IF(OR(保険一覧!$S13="",S$4&lt;保険一覧!$S13),IF(保険一覧!$J13="月払",保険一覧!$K13,IF(AND(保険一覧!$J13="年払",MONTH(S$4)=保険一覧!$R13),保険一覧!$K13,0)),0)</f>
        <v>179573</v>
      </c>
      <c r="T14" s="34" t="n">
        <f aca="false">IF(OR(保険一覧!$S13="",T$4&lt;保険一覧!$S13),IF(保険一覧!$J13="月払",保険一覧!$K13,IF(AND(保険一覧!$J13="年払",MONTH(T$4)=保険一覧!$R13),保険一覧!$K13,0)),0)</f>
        <v>179573</v>
      </c>
      <c r="U14" s="10" t="n">
        <f aca="false">SUM(C14:T14)</f>
        <v>3232314</v>
      </c>
      <c r="V14" s="10" t="n">
        <f aca="false">SUMIFS(C14:T14,$C$4:$T$4,"&gt;="&amp;DATE(2027,4,1),$C$4:$T$4,"&lt;="&amp;DATE(2028,3,1))</f>
        <v>2154876</v>
      </c>
    </row>
    <row r="15" customFormat="false" ht="15" hidden="false" customHeight="false" outlineLevel="0" collapsed="false">
      <c r="A15" s="33" t="str">
        <f aca="false">保険一覧!A14&amp;" "&amp;保険一覧!B14&amp;" "&amp;保険一覧!H14</f>
        <v>10 大同生命 坂本 麻莉</v>
      </c>
      <c r="B15" s="33"/>
      <c r="C15" s="34" t="n">
        <f aca="false">IF(OR(保険一覧!$S14="",C$4&lt;保険一覧!$S14),IF(保険一覧!$J14="月払",保険一覧!$K14,IF(AND(保険一覧!$J14="年払",MONTH(C$4)=保険一覧!$R14),保険一覧!$K14,0)),0)</f>
        <v>49628</v>
      </c>
      <c r="D15" s="34" t="n">
        <f aca="false">IF(OR(保険一覧!$S14="",D$4&lt;保険一覧!$S14),IF(保険一覧!$J14="月払",保険一覧!$K14,IF(AND(保険一覧!$J14="年払",MONTH(D$4)=保険一覧!$R14),保険一覧!$K14,0)),0)</f>
        <v>49628</v>
      </c>
      <c r="E15" s="34" t="n">
        <f aca="false">IF(OR(保険一覧!$S14="",E$4&lt;保険一覧!$S14),IF(保険一覧!$J14="月払",保険一覧!$K14,IF(AND(保険一覧!$J14="年払",MONTH(E$4)=保険一覧!$R14),保険一覧!$K14,0)),0)</f>
        <v>49628</v>
      </c>
      <c r="F15" s="34" t="n">
        <f aca="false">IF(OR(保険一覧!$S14="",F$4&lt;保険一覧!$S14),IF(保険一覧!$J14="月払",保険一覧!$K14,IF(AND(保険一覧!$J14="年払",MONTH(F$4)=保険一覧!$R14),保険一覧!$K14,0)),0)</f>
        <v>49628</v>
      </c>
      <c r="G15" s="34" t="n">
        <f aca="false">IF(OR(保険一覧!$S14="",G$4&lt;保険一覧!$S14),IF(保険一覧!$J14="月払",保険一覧!$K14,IF(AND(保険一覧!$J14="年払",MONTH(G$4)=保険一覧!$R14),保険一覧!$K14,0)),0)</f>
        <v>49628</v>
      </c>
      <c r="H15" s="34" t="n">
        <f aca="false">IF(OR(保険一覧!$S14="",H$4&lt;保険一覧!$S14),IF(保険一覧!$J14="月払",保険一覧!$K14,IF(AND(保険一覧!$J14="年払",MONTH(H$4)=保険一覧!$R14),保険一覧!$K14,0)),0)</f>
        <v>49628</v>
      </c>
      <c r="I15" s="34" t="n">
        <f aca="false">IF(OR(保険一覧!$S14="",I$4&lt;保険一覧!$S14),IF(保険一覧!$J14="月払",保険一覧!$K14,IF(AND(保険一覧!$J14="年払",MONTH(I$4)=保険一覧!$R14),保険一覧!$K14,0)),0)</f>
        <v>49628</v>
      </c>
      <c r="J15" s="34" t="n">
        <f aca="false">IF(OR(保険一覧!$S14="",J$4&lt;保険一覧!$S14),IF(保険一覧!$J14="月払",保険一覧!$K14,IF(AND(保険一覧!$J14="年払",MONTH(J$4)=保険一覧!$R14),保険一覧!$K14,0)),0)</f>
        <v>49628</v>
      </c>
      <c r="K15" s="34" t="n">
        <f aca="false">IF(OR(保険一覧!$S14="",K$4&lt;保険一覧!$S14),IF(保険一覧!$J14="月払",保険一覧!$K14,IF(AND(保険一覧!$J14="年払",MONTH(K$4)=保険一覧!$R14),保険一覧!$K14,0)),0)</f>
        <v>49628</v>
      </c>
      <c r="L15" s="34" t="n">
        <f aca="false">IF(OR(保険一覧!$S14="",L$4&lt;保険一覧!$S14),IF(保険一覧!$J14="月払",保険一覧!$K14,IF(AND(保険一覧!$J14="年払",MONTH(L$4)=保険一覧!$R14),保険一覧!$K14,0)),0)</f>
        <v>49628</v>
      </c>
      <c r="M15" s="34" t="n">
        <f aca="false">IF(OR(保険一覧!$S14="",M$4&lt;保険一覧!$S14),IF(保険一覧!$J14="月払",保険一覧!$K14,IF(AND(保険一覧!$J14="年払",MONTH(M$4)=保険一覧!$R14),保険一覧!$K14,0)),0)</f>
        <v>49628</v>
      </c>
      <c r="N15" s="34" t="n">
        <f aca="false">IF(OR(保険一覧!$S14="",N$4&lt;保険一覧!$S14),IF(保険一覧!$J14="月払",保険一覧!$K14,IF(AND(保険一覧!$J14="年払",MONTH(N$4)=保険一覧!$R14),保険一覧!$K14,0)),0)</f>
        <v>49628</v>
      </c>
      <c r="O15" s="34" t="n">
        <f aca="false">IF(OR(保険一覧!$S14="",O$4&lt;保険一覧!$S14),IF(保険一覧!$J14="月払",保険一覧!$K14,IF(AND(保険一覧!$J14="年払",MONTH(O$4)=保険一覧!$R14),保険一覧!$K14,0)),0)</f>
        <v>49628</v>
      </c>
      <c r="P15" s="34" t="n">
        <f aca="false">IF(OR(保険一覧!$S14="",P$4&lt;保険一覧!$S14),IF(保険一覧!$J14="月払",保険一覧!$K14,IF(AND(保険一覧!$J14="年払",MONTH(P$4)=保険一覧!$R14),保険一覧!$K14,0)),0)</f>
        <v>49628</v>
      </c>
      <c r="Q15" s="34" t="n">
        <f aca="false">IF(OR(保険一覧!$S14="",Q$4&lt;保険一覧!$S14),IF(保険一覧!$J14="月払",保険一覧!$K14,IF(AND(保険一覧!$J14="年払",MONTH(Q$4)=保険一覧!$R14),保険一覧!$K14,0)),0)</f>
        <v>49628</v>
      </c>
      <c r="R15" s="34" t="n">
        <f aca="false">IF(OR(保険一覧!$S14="",R$4&lt;保険一覧!$S14),IF(保険一覧!$J14="月払",保険一覧!$K14,IF(AND(保険一覧!$J14="年払",MONTH(R$4)=保険一覧!$R14),保険一覧!$K14,0)),0)</f>
        <v>49628</v>
      </c>
      <c r="S15" s="34" t="n">
        <f aca="false">IF(OR(保険一覧!$S14="",S$4&lt;保険一覧!$S14),IF(保険一覧!$J14="月払",保険一覧!$K14,IF(AND(保険一覧!$J14="年払",MONTH(S$4)=保険一覧!$R14),保険一覧!$K14,0)),0)</f>
        <v>49628</v>
      </c>
      <c r="T15" s="34" t="n">
        <f aca="false">IF(OR(保険一覧!$S14="",T$4&lt;保険一覧!$S14),IF(保険一覧!$J14="月払",保険一覧!$K14,IF(AND(保険一覧!$J14="年払",MONTH(T$4)=保険一覧!$R14),保険一覧!$K14,0)),0)</f>
        <v>49628</v>
      </c>
      <c r="U15" s="10" t="n">
        <f aca="false">SUM(C15:T15)</f>
        <v>893304</v>
      </c>
      <c r="V15" s="10" t="n">
        <f aca="false">SUMIFS(C15:T15,$C$4:$T$4,"&gt;="&amp;DATE(2027,4,1),$C$4:$T$4,"&lt;="&amp;DATE(2028,3,1))</f>
        <v>595536</v>
      </c>
    </row>
    <row r="16" customFormat="false" ht="15" hidden="false" customHeight="false" outlineLevel="0" collapsed="false">
      <c r="A16" s="33" t="str">
        <f aca="false">保険一覧!A15&amp;" "&amp;保険一覧!B15&amp;" "&amp;保険一覧!H15</f>
        <v>11 大同生命 坂本 武</v>
      </c>
      <c r="B16" s="33"/>
      <c r="C16" s="34" t="n">
        <f aca="false">IF(OR(保険一覧!$S15="",C$4&lt;保険一覧!$S15),IF(保険一覧!$J15="月払",保険一覧!$K15,IF(AND(保険一覧!$J15="年払",MONTH(C$4)=保険一覧!$R15),保険一覧!$K15,0)),0)</f>
        <v>0</v>
      </c>
      <c r="D16" s="34" t="n">
        <f aca="false">IF(OR(保険一覧!$S15="",D$4&lt;保険一覧!$S15),IF(保険一覧!$J15="月払",保険一覧!$K15,IF(AND(保険一覧!$J15="年払",MONTH(D$4)=保険一覧!$R15),保険一覧!$K15,0)),0)</f>
        <v>0</v>
      </c>
      <c r="E16" s="34" t="n">
        <f aca="false">IF(OR(保険一覧!$S15="",E$4&lt;保険一覧!$S15),IF(保険一覧!$J15="月払",保険一覧!$K15,IF(AND(保険一覧!$J15="年払",MONTH(E$4)=保険一覧!$R15),保険一覧!$K15,0)),0)</f>
        <v>0</v>
      </c>
      <c r="F16" s="34" t="n">
        <f aca="false">IF(OR(保険一覧!$S15="",F$4&lt;保険一覧!$S15),IF(保険一覧!$J15="月払",保険一覧!$K15,IF(AND(保険一覧!$J15="年払",MONTH(F$4)=保険一覧!$R15),保険一覧!$K15,0)),0)</f>
        <v>0</v>
      </c>
      <c r="G16" s="34" t="n">
        <f aca="false">IF(OR(保険一覧!$S15="",G$4&lt;保険一覧!$S15),IF(保険一覧!$J15="月払",保険一覧!$K15,IF(AND(保険一覧!$J15="年払",MONTH(G$4)=保険一覧!$R15),保険一覧!$K15,0)),0)</f>
        <v>0</v>
      </c>
      <c r="H16" s="34" t="n">
        <f aca="false">IF(OR(保険一覧!$S15="",H$4&lt;保険一覧!$S15),IF(保険一覧!$J15="月払",保険一覧!$K15,IF(AND(保険一覧!$J15="年払",MONTH(H$4)=保険一覧!$R15),保険一覧!$K15,0)),0)</f>
        <v>0</v>
      </c>
      <c r="I16" s="34" t="n">
        <f aca="false">IF(OR(保険一覧!$S15="",I$4&lt;保険一覧!$S15),IF(保険一覧!$J15="月払",保険一覧!$K15,IF(AND(保険一覧!$J15="年払",MONTH(I$4)=保険一覧!$R15),保険一覧!$K15,0)),0)</f>
        <v>0</v>
      </c>
      <c r="J16" s="34" t="n">
        <f aca="false">IF(OR(保険一覧!$S15="",J$4&lt;保険一覧!$S15),IF(保険一覧!$J15="月払",保険一覧!$K15,IF(AND(保険一覧!$J15="年払",MONTH(J$4)=保険一覧!$R15),保険一覧!$K15,0)),0)</f>
        <v>0</v>
      </c>
      <c r="K16" s="34" t="n">
        <f aca="false">IF(OR(保険一覧!$S15="",K$4&lt;保険一覧!$S15),IF(保険一覧!$J15="月払",保険一覧!$K15,IF(AND(保険一覧!$J15="年払",MONTH(K$4)=保険一覧!$R15),保険一覧!$K15,0)),0)</f>
        <v>5698547</v>
      </c>
      <c r="L16" s="34" t="n">
        <f aca="false">IF(OR(保険一覧!$S15="",L$4&lt;保険一覧!$S15),IF(保険一覧!$J15="月払",保険一覧!$K15,IF(AND(保険一覧!$J15="年払",MONTH(L$4)=保険一覧!$R15),保険一覧!$K15,0)),0)</f>
        <v>0</v>
      </c>
      <c r="M16" s="34" t="n">
        <f aca="false">IF(OR(保険一覧!$S15="",M$4&lt;保険一覧!$S15),IF(保険一覧!$J15="月払",保険一覧!$K15,IF(AND(保険一覧!$J15="年払",MONTH(M$4)=保険一覧!$R15),保険一覧!$K15,0)),0)</f>
        <v>0</v>
      </c>
      <c r="N16" s="34" t="n">
        <f aca="false">IF(OR(保険一覧!$S15="",N$4&lt;保険一覧!$S15),IF(保険一覧!$J15="月払",保険一覧!$K15,IF(AND(保険一覧!$J15="年払",MONTH(N$4)=保険一覧!$R15),保険一覧!$K15,0)),0)</f>
        <v>0</v>
      </c>
      <c r="O16" s="34" t="n">
        <f aca="false">IF(OR(保険一覧!$S15="",O$4&lt;保険一覧!$S15),IF(保険一覧!$J15="月払",保険一覧!$K15,IF(AND(保険一覧!$J15="年払",MONTH(O$4)=保険一覧!$R15),保険一覧!$K15,0)),0)</f>
        <v>0</v>
      </c>
      <c r="P16" s="34" t="n">
        <f aca="false">IF(OR(保険一覧!$S15="",P$4&lt;保険一覧!$S15),IF(保険一覧!$J15="月払",保険一覧!$K15,IF(AND(保険一覧!$J15="年払",MONTH(P$4)=保険一覧!$R15),保険一覧!$K15,0)),0)</f>
        <v>0</v>
      </c>
      <c r="Q16" s="34" t="n">
        <f aca="false">IF(OR(保険一覧!$S15="",Q$4&lt;保険一覧!$S15),IF(保険一覧!$J15="月払",保険一覧!$K15,IF(AND(保険一覧!$J15="年払",MONTH(Q$4)=保険一覧!$R15),保険一覧!$K15,0)),0)</f>
        <v>0</v>
      </c>
      <c r="R16" s="34" t="n">
        <f aca="false">IF(OR(保険一覧!$S15="",R$4&lt;保険一覧!$S15),IF(保険一覧!$J15="月払",保険一覧!$K15,IF(AND(保険一覧!$J15="年払",MONTH(R$4)=保険一覧!$R15),保険一覧!$K15,0)),0)</f>
        <v>0</v>
      </c>
      <c r="S16" s="34" t="n">
        <f aca="false">IF(OR(保険一覧!$S15="",S$4&lt;保険一覧!$S15),IF(保険一覧!$J15="月払",保険一覧!$K15,IF(AND(保険一覧!$J15="年払",MONTH(S$4)=保険一覧!$R15),保険一覧!$K15,0)),0)</f>
        <v>0</v>
      </c>
      <c r="T16" s="34" t="n">
        <f aca="false">IF(OR(保険一覧!$S15="",T$4&lt;保険一覧!$S15),IF(保険一覧!$J15="月払",保険一覧!$K15,IF(AND(保険一覧!$J15="年払",MONTH(T$4)=保険一覧!$R15),保険一覧!$K15,0)),0)</f>
        <v>0</v>
      </c>
      <c r="U16" s="10" t="n">
        <f aca="false">SUM(C16:T16)</f>
        <v>5698547</v>
      </c>
      <c r="V16" s="10" t="n">
        <f aca="false">SUMIFS(C16:T16,$C$4:$T$4,"&gt;="&amp;DATE(2027,4,1),$C$4:$T$4,"&lt;="&amp;DATE(2028,3,1))</f>
        <v>5698547</v>
      </c>
    </row>
    <row r="17" customFormat="false" ht="15" hidden="false" customHeight="false" outlineLevel="0" collapsed="false">
      <c r="A17" s="33" t="str">
        <f aca="false">保険一覧!A16&amp;" "&amp;保険一覧!B16&amp;" "&amp;保険一覧!H16</f>
        <v>12 大同生命 Ｔ 岡田 淳</v>
      </c>
      <c r="B17" s="33"/>
      <c r="C17" s="34" t="n">
        <f aca="false">IF(OR(保険一覧!$S16="",C$4&lt;保険一覧!$S16),IF(保険一覧!$J16="月払",保険一覧!$K16,IF(AND(保険一覧!$J16="年払",MONTH(C$4)=保険一覧!$R16),保険一覧!$K16,0)),0)</f>
        <v>0</v>
      </c>
      <c r="D17" s="34" t="n">
        <f aca="false">IF(OR(保険一覧!$S16="",D$4&lt;保険一覧!$S16),IF(保険一覧!$J16="月払",保険一覧!$K16,IF(AND(保険一覧!$J16="年払",MONTH(D$4)=保険一覧!$R16),保険一覧!$K16,0)),0)</f>
        <v>0</v>
      </c>
      <c r="E17" s="34" t="n">
        <f aca="false">IF(OR(保険一覧!$S16="",E$4&lt;保険一覧!$S16),IF(保険一覧!$J16="月払",保険一覧!$K16,IF(AND(保険一覧!$J16="年払",MONTH(E$4)=保険一覧!$R16),保険一覧!$K16,0)),0)</f>
        <v>0</v>
      </c>
      <c r="F17" s="34" t="n">
        <f aca="false">IF(OR(保険一覧!$S16="",F$4&lt;保険一覧!$S16),IF(保険一覧!$J16="月払",保険一覧!$K16,IF(AND(保険一覧!$J16="年払",MONTH(F$4)=保険一覧!$R16),保険一覧!$K16,0)),0)</f>
        <v>0</v>
      </c>
      <c r="G17" s="34" t="n">
        <f aca="false">IF(OR(保険一覧!$S16="",G$4&lt;保険一覧!$S16),IF(保険一覧!$J16="月払",保険一覧!$K16,IF(AND(保険一覧!$J16="年払",MONTH(G$4)=保険一覧!$R16),保険一覧!$K16,0)),0)</f>
        <v>0</v>
      </c>
      <c r="H17" s="34" t="n">
        <f aca="false">IF(OR(保険一覧!$S16="",H$4&lt;保険一覧!$S16),IF(保険一覧!$J16="月払",保険一覧!$K16,IF(AND(保険一覧!$J16="年払",MONTH(H$4)=保険一覧!$R16),保険一覧!$K16,0)),0)</f>
        <v>0</v>
      </c>
      <c r="I17" s="34" t="n">
        <f aca="false">IF(OR(保険一覧!$S16="",I$4&lt;保険一覧!$S16),IF(保険一覧!$J16="月払",保険一覧!$K16,IF(AND(保険一覧!$J16="年払",MONTH(I$4)=保険一覧!$R16),保険一覧!$K16,0)),0)</f>
        <v>0</v>
      </c>
      <c r="J17" s="34" t="n">
        <f aca="false">IF(OR(保険一覧!$S16="",J$4&lt;保険一覧!$S16),IF(保険一覧!$J16="月払",保険一覧!$K16,IF(AND(保険一覧!$J16="年払",MONTH(J$4)=保険一覧!$R16),保険一覧!$K16,0)),0)</f>
        <v>0</v>
      </c>
      <c r="K17" s="34" t="n">
        <f aca="false">IF(OR(保険一覧!$S16="",K$4&lt;保険一覧!$S16),IF(保険一覧!$J16="月払",保険一覧!$K16,IF(AND(保険一覧!$J16="年払",MONTH(K$4)=保険一覧!$R16),保険一覧!$K16,0)),0)</f>
        <v>0</v>
      </c>
      <c r="L17" s="34" t="n">
        <f aca="false">IF(OR(保険一覧!$S16="",L$4&lt;保険一覧!$S16),IF(保険一覧!$J16="月払",保険一覧!$K16,IF(AND(保険一覧!$J16="年払",MONTH(L$4)=保険一覧!$R16),保険一覧!$K16,0)),0)</f>
        <v>1707660</v>
      </c>
      <c r="M17" s="34" t="n">
        <f aca="false">IF(OR(保険一覧!$S16="",M$4&lt;保険一覧!$S16),IF(保険一覧!$J16="月払",保険一覧!$K16,IF(AND(保険一覧!$J16="年払",MONTH(M$4)=保険一覧!$R16),保険一覧!$K16,0)),0)</f>
        <v>0</v>
      </c>
      <c r="N17" s="34" t="n">
        <f aca="false">IF(OR(保険一覧!$S16="",N$4&lt;保険一覧!$S16),IF(保険一覧!$J16="月払",保険一覧!$K16,IF(AND(保険一覧!$J16="年払",MONTH(N$4)=保険一覧!$R16),保険一覧!$K16,0)),0)</f>
        <v>0</v>
      </c>
      <c r="O17" s="34" t="n">
        <f aca="false">IF(OR(保険一覧!$S16="",O$4&lt;保険一覧!$S16),IF(保険一覧!$J16="月払",保険一覧!$K16,IF(AND(保険一覧!$J16="年払",MONTH(O$4)=保険一覧!$R16),保険一覧!$K16,0)),0)</f>
        <v>0</v>
      </c>
      <c r="P17" s="34" t="n">
        <f aca="false">IF(OR(保険一覧!$S16="",P$4&lt;保険一覧!$S16),IF(保険一覧!$J16="月払",保険一覧!$K16,IF(AND(保険一覧!$J16="年払",MONTH(P$4)=保険一覧!$R16),保険一覧!$K16,0)),0)</f>
        <v>0</v>
      </c>
      <c r="Q17" s="34" t="n">
        <f aca="false">IF(OR(保険一覧!$S16="",Q$4&lt;保険一覧!$S16),IF(保険一覧!$J16="月払",保険一覧!$K16,IF(AND(保険一覧!$J16="年払",MONTH(Q$4)=保険一覧!$R16),保険一覧!$K16,0)),0)</f>
        <v>0</v>
      </c>
      <c r="R17" s="34" t="n">
        <f aca="false">IF(OR(保険一覧!$S16="",R$4&lt;保険一覧!$S16),IF(保険一覧!$J16="月払",保険一覧!$K16,IF(AND(保険一覧!$J16="年払",MONTH(R$4)=保険一覧!$R16),保険一覧!$K16,0)),0)</f>
        <v>0</v>
      </c>
      <c r="S17" s="34" t="n">
        <f aca="false">IF(OR(保険一覧!$S16="",S$4&lt;保険一覧!$S16),IF(保険一覧!$J16="月払",保険一覧!$K16,IF(AND(保険一覧!$J16="年払",MONTH(S$4)=保険一覧!$R16),保険一覧!$K16,0)),0)</f>
        <v>0</v>
      </c>
      <c r="T17" s="34" t="n">
        <f aca="false">IF(OR(保険一覧!$S16="",T$4&lt;保険一覧!$S16),IF(保険一覧!$J16="月払",保険一覧!$K16,IF(AND(保険一覧!$J16="年払",MONTH(T$4)=保険一覧!$R16),保険一覧!$K16,0)),0)</f>
        <v>0</v>
      </c>
      <c r="U17" s="10" t="n">
        <f aca="false">SUM(C17:T17)</f>
        <v>1707660</v>
      </c>
      <c r="V17" s="10" t="n">
        <f aca="false">SUMIFS(C17:T17,$C$4:$T$4,"&gt;="&amp;DATE(2027,4,1),$C$4:$T$4,"&lt;="&amp;DATE(2028,3,1))</f>
        <v>1707660</v>
      </c>
    </row>
    <row r="18" customFormat="false" ht="15" hidden="false" customHeight="false" outlineLevel="0" collapsed="false">
      <c r="A18" s="33" t="str">
        <f aca="false">保険一覧!A17&amp;" "&amp;保険一覧!B17&amp;" "&amp;保険一覧!H17</f>
        <v>13 日本生命 坂本 信</v>
      </c>
      <c r="B18" s="33"/>
      <c r="C18" s="34" t="n">
        <f aca="false">IF(OR(保険一覧!$S17="",C$4&lt;保険一覧!$S17),IF(保険一覧!$J17="月払",保険一覧!$K17,IF(AND(保険一覧!$J17="年払",MONTH(C$4)=保険一覧!$R17),保険一覧!$K17,0)),0)</f>
        <v>0</v>
      </c>
      <c r="D18" s="34" t="n">
        <f aca="false">IF(OR(保険一覧!$S17="",D$4&lt;保険一覧!$S17),IF(保険一覧!$J17="月払",保険一覧!$K17,IF(AND(保険一覧!$J17="年払",MONTH(D$4)=保険一覧!$R17),保険一覧!$K17,0)),0)</f>
        <v>0</v>
      </c>
      <c r="E18" s="34" t="n">
        <f aca="false">IF(OR(保険一覧!$S17="",E$4&lt;保険一覧!$S17),IF(保険一覧!$J17="月払",保険一覧!$K17,IF(AND(保険一覧!$J17="年払",MONTH(E$4)=保険一覧!$R17),保険一覧!$K17,0)),0)</f>
        <v>0</v>
      </c>
      <c r="F18" s="34" t="n">
        <f aca="false">IF(OR(保険一覧!$S17="",F$4&lt;保険一覧!$S17),IF(保険一覧!$J17="月払",保険一覧!$K17,IF(AND(保険一覧!$J17="年払",MONTH(F$4)=保険一覧!$R17),保険一覧!$K17,0)),0)</f>
        <v>0</v>
      </c>
      <c r="G18" s="34" t="n">
        <f aca="false">IF(OR(保険一覧!$S17="",G$4&lt;保険一覧!$S17),IF(保険一覧!$J17="月払",保険一覧!$K17,IF(AND(保険一覧!$J17="年払",MONTH(G$4)=保険一覧!$R17),保険一覧!$K17,0)),0)</f>
        <v>0</v>
      </c>
      <c r="H18" s="34" t="n">
        <f aca="false">IF(OR(保険一覧!$S17="",H$4&lt;保険一覧!$S17),IF(保険一覧!$J17="月払",保険一覧!$K17,IF(AND(保険一覧!$J17="年払",MONTH(H$4)=保険一覧!$R17),保険一覧!$K17,0)),0)</f>
        <v>0</v>
      </c>
      <c r="I18" s="34" t="n">
        <f aca="false">IF(OR(保険一覧!$S17="",I$4&lt;保険一覧!$S17),IF(保険一覧!$J17="月払",保険一覧!$K17,IF(AND(保険一覧!$J17="年払",MONTH(I$4)=保険一覧!$R17),保険一覧!$K17,0)),0)</f>
        <v>0</v>
      </c>
      <c r="J18" s="34" t="n">
        <f aca="false">IF(OR(保険一覧!$S17="",J$4&lt;保険一覧!$S17),IF(保険一覧!$J17="月払",保険一覧!$K17,IF(AND(保険一覧!$J17="年払",MONTH(J$4)=保険一覧!$R17),保険一覧!$K17,0)),0)</f>
        <v>0</v>
      </c>
      <c r="K18" s="34" t="n">
        <f aca="false">IF(OR(保険一覧!$S17="",K$4&lt;保険一覧!$S17),IF(保険一覧!$J17="月払",保険一覧!$K17,IF(AND(保険一覧!$J17="年払",MONTH(K$4)=保険一覧!$R17),保険一覧!$K17,0)),0)</f>
        <v>3027080</v>
      </c>
      <c r="L18" s="34" t="n">
        <f aca="false">IF(OR(保険一覧!$S17="",L$4&lt;保険一覧!$S17),IF(保険一覧!$J17="月払",保険一覧!$K17,IF(AND(保険一覧!$J17="年払",MONTH(L$4)=保険一覧!$R17),保険一覧!$K17,0)),0)</f>
        <v>0</v>
      </c>
      <c r="M18" s="34" t="n">
        <f aca="false">IF(OR(保険一覧!$S17="",M$4&lt;保険一覧!$S17),IF(保険一覧!$J17="月払",保険一覧!$K17,IF(AND(保険一覧!$J17="年払",MONTH(M$4)=保険一覧!$R17),保険一覧!$K17,0)),0)</f>
        <v>0</v>
      </c>
      <c r="N18" s="34" t="n">
        <f aca="false">IF(OR(保険一覧!$S17="",N$4&lt;保険一覧!$S17),IF(保険一覧!$J17="月払",保険一覧!$K17,IF(AND(保険一覧!$J17="年払",MONTH(N$4)=保険一覧!$R17),保険一覧!$K17,0)),0)</f>
        <v>0</v>
      </c>
      <c r="O18" s="34" t="n">
        <f aca="false">IF(OR(保険一覧!$S17="",O$4&lt;保険一覧!$S17),IF(保険一覧!$J17="月払",保険一覧!$K17,IF(AND(保険一覧!$J17="年払",MONTH(O$4)=保険一覧!$R17),保険一覧!$K17,0)),0)</f>
        <v>0</v>
      </c>
      <c r="P18" s="34" t="n">
        <f aca="false">IF(OR(保険一覧!$S17="",P$4&lt;保険一覧!$S17),IF(保険一覧!$J17="月払",保険一覧!$K17,IF(AND(保険一覧!$J17="年払",MONTH(P$4)=保険一覧!$R17),保険一覧!$K17,0)),0)</f>
        <v>0</v>
      </c>
      <c r="Q18" s="34" t="n">
        <f aca="false">IF(OR(保険一覧!$S17="",Q$4&lt;保険一覧!$S17),IF(保険一覧!$J17="月払",保険一覧!$K17,IF(AND(保険一覧!$J17="年払",MONTH(Q$4)=保険一覧!$R17),保険一覧!$K17,0)),0)</f>
        <v>0</v>
      </c>
      <c r="R18" s="34" t="n">
        <f aca="false">IF(OR(保険一覧!$S17="",R$4&lt;保険一覧!$S17),IF(保険一覧!$J17="月払",保険一覧!$K17,IF(AND(保険一覧!$J17="年払",MONTH(R$4)=保険一覧!$R17),保険一覧!$K17,0)),0)</f>
        <v>0</v>
      </c>
      <c r="S18" s="34" t="n">
        <f aca="false">IF(OR(保険一覧!$S17="",S$4&lt;保険一覧!$S17),IF(保険一覧!$J17="月払",保険一覧!$K17,IF(AND(保険一覧!$J17="年払",MONTH(S$4)=保険一覧!$R17),保険一覧!$K17,0)),0)</f>
        <v>0</v>
      </c>
      <c r="T18" s="34" t="n">
        <f aca="false">IF(OR(保険一覧!$S17="",T$4&lt;保険一覧!$S17),IF(保険一覧!$J17="月払",保険一覧!$K17,IF(AND(保険一覧!$J17="年払",MONTH(T$4)=保険一覧!$R17),保険一覧!$K17,0)),0)</f>
        <v>0</v>
      </c>
      <c r="U18" s="10" t="n">
        <f aca="false">SUM(C18:T18)</f>
        <v>3027080</v>
      </c>
      <c r="V18" s="10" t="n">
        <f aca="false">SUMIFS(C18:T18,$C$4:$T$4,"&gt;="&amp;DATE(2027,4,1),$C$4:$T$4,"&lt;="&amp;DATE(2028,3,1))</f>
        <v>3027080</v>
      </c>
    </row>
    <row r="19" customFormat="false" ht="15" hidden="false" customHeight="false" outlineLevel="0" collapsed="false">
      <c r="A19" s="33" t="str">
        <f aca="false">保険一覧!A18&amp;" "&amp;保険一覧!B18&amp;" "&amp;保険一覧!H18</f>
        <v>14 日本生命 坂本 信</v>
      </c>
      <c r="B19" s="33"/>
      <c r="C19" s="34" t="n">
        <f aca="false">IF(OR(保険一覧!$S18="",C$4&lt;保険一覧!$S18),IF(保険一覧!$J18="月払",保険一覧!$K18,IF(AND(保険一覧!$J18="年払",MONTH(C$4)=保険一覧!$R18),保険一覧!$K18,0)),0)</f>
        <v>0</v>
      </c>
      <c r="D19" s="34" t="n">
        <f aca="false">IF(OR(保険一覧!$S18="",D$4&lt;保険一覧!$S18),IF(保険一覧!$J18="月払",保険一覧!$K18,IF(AND(保険一覧!$J18="年払",MONTH(D$4)=保険一覧!$R18),保険一覧!$K18,0)),0)</f>
        <v>0</v>
      </c>
      <c r="E19" s="34" t="n">
        <f aca="false">IF(OR(保険一覧!$S18="",E$4&lt;保険一覧!$S18),IF(保険一覧!$J18="月払",保険一覧!$K18,IF(AND(保険一覧!$J18="年払",MONTH(E$4)=保険一覧!$R18),保険一覧!$K18,0)),0)</f>
        <v>0</v>
      </c>
      <c r="F19" s="34" t="n">
        <f aca="false">IF(OR(保険一覧!$S18="",F$4&lt;保険一覧!$S18),IF(保険一覧!$J18="月払",保険一覧!$K18,IF(AND(保険一覧!$J18="年払",MONTH(F$4)=保険一覧!$R18),保険一覧!$K18,0)),0)</f>
        <v>0</v>
      </c>
      <c r="G19" s="34" t="n">
        <f aca="false">IF(OR(保険一覧!$S18="",G$4&lt;保険一覧!$S18),IF(保険一覧!$J18="月払",保険一覧!$K18,IF(AND(保険一覧!$J18="年払",MONTH(G$4)=保険一覧!$R18),保険一覧!$K18,0)),0)</f>
        <v>0</v>
      </c>
      <c r="H19" s="34" t="n">
        <f aca="false">IF(OR(保険一覧!$S18="",H$4&lt;保険一覧!$S18),IF(保険一覧!$J18="月払",保険一覧!$K18,IF(AND(保険一覧!$J18="年払",MONTH(H$4)=保険一覧!$R18),保険一覧!$K18,0)),0)</f>
        <v>0</v>
      </c>
      <c r="I19" s="34" t="n">
        <f aca="false">IF(OR(保険一覧!$S18="",I$4&lt;保険一覧!$S18),IF(保険一覧!$J18="月払",保険一覧!$K18,IF(AND(保険一覧!$J18="年払",MONTH(I$4)=保険一覧!$R18),保険一覧!$K18,0)),0)</f>
        <v>0</v>
      </c>
      <c r="J19" s="34" t="n">
        <f aca="false">IF(OR(保険一覧!$S18="",J$4&lt;保険一覧!$S18),IF(保険一覧!$J18="月払",保険一覧!$K18,IF(AND(保険一覧!$J18="年払",MONTH(J$4)=保険一覧!$R18),保険一覧!$K18,0)),0)</f>
        <v>0</v>
      </c>
      <c r="K19" s="34" t="n">
        <f aca="false">IF(OR(保険一覧!$S18="",K$4&lt;保険一覧!$S18),IF(保険一覧!$J18="月払",保険一覧!$K18,IF(AND(保険一覧!$J18="年払",MONTH(K$4)=保険一覧!$R18),保険一覧!$K18,0)),0)</f>
        <v>0</v>
      </c>
      <c r="L19" s="34" t="n">
        <f aca="false">IF(OR(保険一覧!$S18="",L$4&lt;保険一覧!$S18),IF(保険一覧!$J18="月払",保険一覧!$K18,IF(AND(保険一覧!$J18="年払",MONTH(L$4)=保険一覧!$R18),保険一覧!$K18,0)),0)</f>
        <v>0</v>
      </c>
      <c r="M19" s="34" t="n">
        <f aca="false">IF(OR(保険一覧!$S18="",M$4&lt;保険一覧!$S18),IF(保険一覧!$J18="月払",保険一覧!$K18,IF(AND(保険一覧!$J18="年払",MONTH(M$4)=保険一覧!$R18),保険一覧!$K18,0)),0)</f>
        <v>0</v>
      </c>
      <c r="N19" s="34" t="n">
        <f aca="false">IF(OR(保険一覧!$S18="",N$4&lt;保険一覧!$S18),IF(保険一覧!$J18="月払",保険一覧!$K18,IF(AND(保険一覧!$J18="年払",MONTH(N$4)=保険一覧!$R18),保険一覧!$K18,0)),0)</f>
        <v>4973060</v>
      </c>
      <c r="O19" s="34" t="n">
        <f aca="false">IF(OR(保険一覧!$S18="",O$4&lt;保険一覧!$S18),IF(保険一覧!$J18="月払",保険一覧!$K18,IF(AND(保険一覧!$J18="年払",MONTH(O$4)=保険一覧!$R18),保険一覧!$K18,0)),0)</f>
        <v>0</v>
      </c>
      <c r="P19" s="34" t="n">
        <f aca="false">IF(OR(保険一覧!$S18="",P$4&lt;保険一覧!$S18),IF(保険一覧!$J18="月払",保険一覧!$K18,IF(AND(保険一覧!$J18="年払",MONTH(P$4)=保険一覧!$R18),保険一覧!$K18,0)),0)</f>
        <v>0</v>
      </c>
      <c r="Q19" s="34" t="n">
        <f aca="false">IF(OR(保険一覧!$S18="",Q$4&lt;保険一覧!$S18),IF(保険一覧!$J18="月払",保険一覧!$K18,IF(AND(保険一覧!$J18="年払",MONTH(Q$4)=保険一覧!$R18),保険一覧!$K18,0)),0)</f>
        <v>0</v>
      </c>
      <c r="R19" s="34" t="n">
        <f aca="false">IF(OR(保険一覧!$S18="",R$4&lt;保険一覧!$S18),IF(保険一覧!$J18="月払",保険一覧!$K18,IF(AND(保険一覧!$J18="年払",MONTH(R$4)=保険一覧!$R18),保険一覧!$K18,0)),0)</f>
        <v>0</v>
      </c>
      <c r="S19" s="34" t="n">
        <f aca="false">IF(OR(保険一覧!$S18="",S$4&lt;保険一覧!$S18),IF(保険一覧!$J18="月払",保険一覧!$K18,IF(AND(保険一覧!$J18="年払",MONTH(S$4)=保険一覧!$R18),保険一覧!$K18,0)),0)</f>
        <v>0</v>
      </c>
      <c r="T19" s="34" t="n">
        <f aca="false">IF(OR(保険一覧!$S18="",T$4&lt;保険一覧!$S18),IF(保険一覧!$J18="月払",保険一覧!$K18,IF(AND(保険一覧!$J18="年払",MONTH(T$4)=保険一覧!$R18),保険一覧!$K18,0)),0)</f>
        <v>0</v>
      </c>
      <c r="U19" s="10" t="n">
        <f aca="false">SUM(C19:T19)</f>
        <v>4973060</v>
      </c>
      <c r="V19" s="10" t="n">
        <f aca="false">SUMIFS(C19:T19,$C$4:$T$4,"&gt;="&amp;DATE(2027,4,1),$C$4:$T$4,"&lt;="&amp;DATE(2028,3,1))</f>
        <v>4973060</v>
      </c>
    </row>
    <row r="20" customFormat="false" ht="15" hidden="false" customHeight="false" outlineLevel="0" collapsed="false">
      <c r="A20" s="33" t="str">
        <f aca="false">保険一覧!A19&amp;" "&amp;保険一覧!B19&amp;" "&amp;保険一覧!H19</f>
        <v>15 日本生命 岡田 淳</v>
      </c>
      <c r="B20" s="33"/>
      <c r="C20" s="34" t="n">
        <f aca="false">IF(OR(保険一覧!$S19="",C$4&lt;保険一覧!$S19),IF(保険一覧!$J19="月払",保険一覧!$K19,IF(AND(保険一覧!$J19="年払",MONTH(C$4)=保険一覧!$R19),保険一覧!$K19,0)),0)</f>
        <v>0</v>
      </c>
      <c r="D20" s="34" t="n">
        <f aca="false">IF(OR(保険一覧!$S19="",D$4&lt;保険一覧!$S19),IF(保険一覧!$J19="月払",保険一覧!$K19,IF(AND(保険一覧!$J19="年払",MONTH(D$4)=保険一覧!$R19),保険一覧!$K19,0)),0)</f>
        <v>0</v>
      </c>
      <c r="E20" s="34" t="n">
        <f aca="false">IF(OR(保険一覧!$S19="",E$4&lt;保険一覧!$S19),IF(保険一覧!$J19="月払",保険一覧!$K19,IF(AND(保険一覧!$J19="年払",MONTH(E$4)=保険一覧!$R19),保険一覧!$K19,0)),0)</f>
        <v>0</v>
      </c>
      <c r="F20" s="34" t="n">
        <f aca="false">IF(OR(保険一覧!$S19="",F$4&lt;保険一覧!$S19),IF(保険一覧!$J19="月払",保険一覧!$K19,IF(AND(保険一覧!$J19="年払",MONTH(F$4)=保険一覧!$R19),保険一覧!$K19,0)),0)</f>
        <v>0</v>
      </c>
      <c r="G20" s="34" t="n">
        <f aca="false">IF(OR(保険一覧!$S19="",G$4&lt;保険一覧!$S19),IF(保険一覧!$J19="月払",保険一覧!$K19,IF(AND(保険一覧!$J19="年払",MONTH(G$4)=保険一覧!$R19),保険一覧!$K19,0)),0)</f>
        <v>0</v>
      </c>
      <c r="H20" s="34" t="n">
        <f aca="false">IF(OR(保険一覧!$S19="",H$4&lt;保険一覧!$S19),IF(保険一覧!$J19="月払",保険一覧!$K19,IF(AND(保険一覧!$J19="年払",MONTH(H$4)=保険一覧!$R19),保険一覧!$K19,0)),0)</f>
        <v>0</v>
      </c>
      <c r="I20" s="34" t="n">
        <f aca="false">IF(OR(保険一覧!$S19="",I$4&lt;保険一覧!$S19),IF(保険一覧!$J19="月払",保険一覧!$K19,IF(AND(保険一覧!$J19="年払",MONTH(I$4)=保険一覧!$R19),保険一覧!$K19,0)),0)</f>
        <v>0</v>
      </c>
      <c r="J20" s="34" t="n">
        <f aca="false">IF(OR(保険一覧!$S19="",J$4&lt;保険一覧!$S19),IF(保険一覧!$J19="月払",保険一覧!$K19,IF(AND(保険一覧!$J19="年払",MONTH(J$4)=保険一覧!$R19),保険一覧!$K19,0)),0)</f>
        <v>0</v>
      </c>
      <c r="K20" s="34" t="n">
        <f aca="false">IF(OR(保険一覧!$S19="",K$4&lt;保険一覧!$S19),IF(保険一覧!$J19="月払",保険一覧!$K19,IF(AND(保険一覧!$J19="年払",MONTH(K$4)=保険一覧!$R19),保険一覧!$K19,0)),0)</f>
        <v>3014812</v>
      </c>
      <c r="L20" s="34" t="n">
        <f aca="false">IF(OR(保険一覧!$S19="",L$4&lt;保険一覧!$S19),IF(保険一覧!$J19="月払",保険一覧!$K19,IF(AND(保険一覧!$J19="年払",MONTH(L$4)=保険一覧!$R19),保険一覧!$K19,0)),0)</f>
        <v>0</v>
      </c>
      <c r="M20" s="34" t="n">
        <f aca="false">IF(OR(保険一覧!$S19="",M$4&lt;保険一覧!$S19),IF(保険一覧!$J19="月払",保険一覧!$K19,IF(AND(保険一覧!$J19="年払",MONTH(M$4)=保険一覧!$R19),保険一覧!$K19,0)),0)</f>
        <v>0</v>
      </c>
      <c r="N20" s="34" t="n">
        <f aca="false">IF(OR(保険一覧!$S19="",N$4&lt;保険一覧!$S19),IF(保険一覧!$J19="月払",保険一覧!$K19,IF(AND(保険一覧!$J19="年払",MONTH(N$4)=保険一覧!$R19),保険一覧!$K19,0)),0)</f>
        <v>0</v>
      </c>
      <c r="O20" s="34" t="n">
        <f aca="false">IF(OR(保険一覧!$S19="",O$4&lt;保険一覧!$S19),IF(保険一覧!$J19="月払",保険一覧!$K19,IF(AND(保険一覧!$J19="年払",MONTH(O$4)=保険一覧!$R19),保険一覧!$K19,0)),0)</f>
        <v>0</v>
      </c>
      <c r="P20" s="34" t="n">
        <f aca="false">IF(OR(保険一覧!$S19="",P$4&lt;保険一覧!$S19),IF(保険一覧!$J19="月払",保険一覧!$K19,IF(AND(保険一覧!$J19="年払",MONTH(P$4)=保険一覧!$R19),保険一覧!$K19,0)),0)</f>
        <v>0</v>
      </c>
      <c r="Q20" s="34" t="n">
        <f aca="false">IF(OR(保険一覧!$S19="",Q$4&lt;保険一覧!$S19),IF(保険一覧!$J19="月払",保険一覧!$K19,IF(AND(保険一覧!$J19="年払",MONTH(Q$4)=保険一覧!$R19),保険一覧!$K19,0)),0)</f>
        <v>0</v>
      </c>
      <c r="R20" s="34" t="n">
        <f aca="false">IF(OR(保険一覧!$S19="",R$4&lt;保険一覧!$S19),IF(保険一覧!$J19="月払",保険一覧!$K19,IF(AND(保険一覧!$J19="年払",MONTH(R$4)=保険一覧!$R19),保険一覧!$K19,0)),0)</f>
        <v>0</v>
      </c>
      <c r="S20" s="34" t="n">
        <f aca="false">IF(OR(保険一覧!$S19="",S$4&lt;保険一覧!$S19),IF(保険一覧!$J19="月払",保険一覧!$K19,IF(AND(保険一覧!$J19="年払",MONTH(S$4)=保険一覧!$R19),保険一覧!$K19,0)),0)</f>
        <v>0</v>
      </c>
      <c r="T20" s="34" t="n">
        <f aca="false">IF(OR(保険一覧!$S19="",T$4&lt;保険一覧!$S19),IF(保険一覧!$J19="月払",保険一覧!$K19,IF(AND(保険一覧!$J19="年払",MONTH(T$4)=保険一覧!$R19),保険一覧!$K19,0)),0)</f>
        <v>0</v>
      </c>
      <c r="U20" s="10" t="n">
        <f aca="false">SUM(C20:T20)</f>
        <v>3014812</v>
      </c>
      <c r="V20" s="10" t="n">
        <f aca="false">SUMIFS(C20:T20,$C$4:$T$4,"&gt;="&amp;DATE(2027,4,1),$C$4:$T$4,"&lt;="&amp;DATE(2028,3,1))</f>
        <v>3014812</v>
      </c>
    </row>
    <row r="21" customFormat="false" ht="15" hidden="false" customHeight="false" outlineLevel="0" collapsed="false">
      <c r="A21" s="33" t="str">
        <f aca="false">保険一覧!A20&amp;" "&amp;保険一覧!B20&amp;" "&amp;保険一覧!H20</f>
        <v>16 日本生命 岡田 淳</v>
      </c>
      <c r="B21" s="33"/>
      <c r="C21" s="34" t="n">
        <f aca="false">IF(OR(保険一覧!$S20="",C$4&lt;保険一覧!$S20),IF(保険一覧!$J20="月払",保険一覧!$K20,IF(AND(保険一覧!$J20="年払",MONTH(C$4)=保険一覧!$R20),保険一覧!$K20,0)),0)</f>
        <v>0</v>
      </c>
      <c r="D21" s="34" t="n">
        <f aca="false">IF(OR(保険一覧!$S20="",D$4&lt;保険一覧!$S20),IF(保険一覧!$J20="月払",保険一覧!$K20,IF(AND(保険一覧!$J20="年払",MONTH(D$4)=保険一覧!$R20),保険一覧!$K20,0)),0)</f>
        <v>0</v>
      </c>
      <c r="E21" s="34" t="n">
        <f aca="false">IF(OR(保険一覧!$S20="",E$4&lt;保険一覧!$S20),IF(保険一覧!$J20="月払",保険一覧!$K20,IF(AND(保険一覧!$J20="年払",MONTH(E$4)=保険一覧!$R20),保険一覧!$K20,0)),0)</f>
        <v>0</v>
      </c>
      <c r="F21" s="34" t="n">
        <f aca="false">IF(OR(保険一覧!$S20="",F$4&lt;保険一覧!$S20),IF(保険一覧!$J20="月払",保険一覧!$K20,IF(AND(保険一覧!$J20="年払",MONTH(F$4)=保険一覧!$R20),保険一覧!$K20,0)),0)</f>
        <v>0</v>
      </c>
      <c r="G21" s="34" t="n">
        <f aca="false">IF(OR(保険一覧!$S20="",G$4&lt;保険一覧!$S20),IF(保険一覧!$J20="月払",保険一覧!$K20,IF(AND(保険一覧!$J20="年払",MONTH(G$4)=保険一覧!$R20),保険一覧!$K20,0)),0)</f>
        <v>0</v>
      </c>
      <c r="H21" s="34" t="n">
        <f aca="false">IF(OR(保険一覧!$S20="",H$4&lt;保険一覧!$S20),IF(保険一覧!$J20="月払",保険一覧!$K20,IF(AND(保険一覧!$J20="年払",MONTH(H$4)=保険一覧!$R20),保険一覧!$K20,0)),0)</f>
        <v>0</v>
      </c>
      <c r="I21" s="34" t="n">
        <f aca="false">IF(OR(保険一覧!$S20="",I$4&lt;保険一覧!$S20),IF(保険一覧!$J20="月払",保険一覧!$K20,IF(AND(保険一覧!$J20="年払",MONTH(I$4)=保険一覧!$R20),保険一覧!$K20,0)),0)</f>
        <v>0</v>
      </c>
      <c r="J21" s="34" t="n">
        <f aca="false">IF(OR(保険一覧!$S20="",J$4&lt;保険一覧!$S20),IF(保険一覧!$J20="月払",保険一覧!$K20,IF(AND(保険一覧!$J20="年払",MONTH(J$4)=保険一覧!$R20),保険一覧!$K20,0)),0)</f>
        <v>0</v>
      </c>
      <c r="K21" s="34" t="n">
        <f aca="false">IF(OR(保険一覧!$S20="",K$4&lt;保険一覧!$S20),IF(保険一覧!$J20="月払",保険一覧!$K20,IF(AND(保険一覧!$J20="年払",MONTH(K$4)=保険一覧!$R20),保険一覧!$K20,0)),0)</f>
        <v>0</v>
      </c>
      <c r="L21" s="34" t="n">
        <f aca="false">IF(OR(保険一覧!$S20="",L$4&lt;保険一覧!$S20),IF(保険一覧!$J20="月払",保険一覧!$K20,IF(AND(保険一覧!$J20="年払",MONTH(L$4)=保険一覧!$R20),保険一覧!$K20,0)),0)</f>
        <v>0</v>
      </c>
      <c r="M21" s="34" t="n">
        <f aca="false">IF(OR(保険一覧!$S20="",M$4&lt;保険一覧!$S20),IF(保険一覧!$J20="月払",保険一覧!$K20,IF(AND(保険一覧!$J20="年払",MONTH(M$4)=保険一覧!$R20),保険一覧!$K20,0)),0)</f>
        <v>0</v>
      </c>
      <c r="N21" s="34" t="n">
        <f aca="false">IF(OR(保険一覧!$S20="",N$4&lt;保険一覧!$S20),IF(保険一覧!$J20="月払",保険一覧!$K20,IF(AND(保険一覧!$J20="年払",MONTH(N$4)=保険一覧!$R20),保険一覧!$K20,0)),0)</f>
        <v>3014812</v>
      </c>
      <c r="O21" s="34" t="n">
        <f aca="false">IF(OR(保険一覧!$S20="",O$4&lt;保険一覧!$S20),IF(保険一覧!$J20="月払",保険一覧!$K20,IF(AND(保険一覧!$J20="年払",MONTH(O$4)=保険一覧!$R20),保険一覧!$K20,0)),0)</f>
        <v>0</v>
      </c>
      <c r="P21" s="34" t="n">
        <f aca="false">IF(OR(保険一覧!$S20="",P$4&lt;保険一覧!$S20),IF(保険一覧!$J20="月払",保険一覧!$K20,IF(AND(保険一覧!$J20="年払",MONTH(P$4)=保険一覧!$R20),保険一覧!$K20,0)),0)</f>
        <v>0</v>
      </c>
      <c r="Q21" s="34" t="n">
        <f aca="false">IF(OR(保険一覧!$S20="",Q$4&lt;保険一覧!$S20),IF(保険一覧!$J20="月払",保険一覧!$K20,IF(AND(保険一覧!$J20="年払",MONTH(Q$4)=保険一覧!$R20),保険一覧!$K20,0)),0)</f>
        <v>0</v>
      </c>
      <c r="R21" s="34" t="n">
        <f aca="false">IF(OR(保険一覧!$S20="",R$4&lt;保険一覧!$S20),IF(保険一覧!$J20="月払",保険一覧!$K20,IF(AND(保険一覧!$J20="年払",MONTH(R$4)=保険一覧!$R20),保険一覧!$K20,0)),0)</f>
        <v>0</v>
      </c>
      <c r="S21" s="34" t="n">
        <f aca="false">IF(OR(保険一覧!$S20="",S$4&lt;保険一覧!$S20),IF(保険一覧!$J20="月払",保険一覧!$K20,IF(AND(保険一覧!$J20="年払",MONTH(S$4)=保険一覧!$R20),保険一覧!$K20,0)),0)</f>
        <v>0</v>
      </c>
      <c r="T21" s="34" t="n">
        <f aca="false">IF(OR(保険一覧!$S20="",T$4&lt;保険一覧!$S20),IF(保険一覧!$J20="月払",保険一覧!$K20,IF(AND(保険一覧!$J20="年払",MONTH(T$4)=保険一覧!$R20),保険一覧!$K20,0)),0)</f>
        <v>0</v>
      </c>
      <c r="U21" s="10" t="n">
        <f aca="false">SUM(C21:T21)</f>
        <v>3014812</v>
      </c>
      <c r="V21" s="10" t="n">
        <f aca="false">SUMIFS(C21:T21,$C$4:$T$4,"&gt;="&amp;DATE(2027,4,1),$C$4:$T$4,"&lt;="&amp;DATE(2028,3,1))</f>
        <v>3014812</v>
      </c>
    </row>
    <row r="22" customFormat="false" ht="15" hidden="false" customHeight="false" outlineLevel="0" collapsed="false">
      <c r="A22" s="33" t="str">
        <f aca="false">保険一覧!A21&amp;" "&amp;保険一覧!B21&amp;" "&amp;保険一覧!H21</f>
        <v>17 明治安田 坂本 武</v>
      </c>
      <c r="B22" s="33"/>
      <c r="C22" s="34" t="n">
        <f aca="false">IF(OR(保険一覧!$S21="",C$4&lt;保険一覧!$S21),IF(保険一覧!$J21="月払",保険一覧!$K21,IF(AND(保険一覧!$J21="年払",MONTH(C$4)=保険一覧!$R21),保険一覧!$K21,0)),0)</f>
        <v>0</v>
      </c>
      <c r="D22" s="34" t="n">
        <f aca="false">IF(OR(保険一覧!$S21="",D$4&lt;保険一覧!$S21),IF(保険一覧!$J21="月払",保険一覧!$K21,IF(AND(保険一覧!$J21="年払",MONTH(D$4)=保険一覧!$R21),保険一覧!$K21,0)),0)</f>
        <v>0</v>
      </c>
      <c r="E22" s="34" t="n">
        <f aca="false">IF(OR(保険一覧!$S21="",E$4&lt;保険一覧!$S21),IF(保険一覧!$J21="月払",保険一覧!$K21,IF(AND(保険一覧!$J21="年払",MONTH(E$4)=保険一覧!$R21),保険一覧!$K21,0)),0)</f>
        <v>0</v>
      </c>
      <c r="F22" s="34" t="n">
        <f aca="false">IF(OR(保険一覧!$S21="",F$4&lt;保険一覧!$S21),IF(保険一覧!$J21="月払",保険一覧!$K21,IF(AND(保険一覧!$J21="年払",MONTH(F$4)=保険一覧!$R21),保険一覧!$K21,0)),0)</f>
        <v>0</v>
      </c>
      <c r="G22" s="34" t="n">
        <f aca="false">IF(OR(保険一覧!$S21="",G$4&lt;保険一覧!$S21),IF(保険一覧!$J21="月払",保険一覧!$K21,IF(AND(保険一覧!$J21="年払",MONTH(G$4)=保険一覧!$R21),保険一覧!$K21,0)),0)</f>
        <v>0</v>
      </c>
      <c r="H22" s="34" t="n">
        <f aca="false">IF(OR(保険一覧!$S21="",H$4&lt;保険一覧!$S21),IF(保険一覧!$J21="月払",保険一覧!$K21,IF(AND(保険一覧!$J21="年払",MONTH(H$4)=保険一覧!$R21),保険一覧!$K21,0)),0)</f>
        <v>0</v>
      </c>
      <c r="I22" s="34" t="n">
        <f aca="false">IF(OR(保険一覧!$S21="",I$4&lt;保険一覧!$S21),IF(保険一覧!$J21="月払",保険一覧!$K21,IF(AND(保険一覧!$J21="年払",MONTH(I$4)=保険一覧!$R21),保険一覧!$K21,0)),0)</f>
        <v>0</v>
      </c>
      <c r="J22" s="34" t="n">
        <f aca="false">IF(OR(保険一覧!$S21="",J$4&lt;保険一覧!$S21),IF(保険一覧!$J21="月払",保険一覧!$K21,IF(AND(保険一覧!$J21="年払",MONTH(J$4)=保険一覧!$R21),保険一覧!$K21,0)),0)</f>
        <v>0</v>
      </c>
      <c r="K22" s="34" t="n">
        <f aca="false">IF(OR(保険一覧!$S21="",K$4&lt;保険一覧!$S21),IF(保険一覧!$J21="月払",保険一覧!$K21,IF(AND(保険一覧!$J21="年払",MONTH(K$4)=保険一覧!$R21),保険一覧!$K21,0)),0)</f>
        <v>0</v>
      </c>
      <c r="L22" s="34" t="n">
        <f aca="false">IF(OR(保険一覧!$S21="",L$4&lt;保険一覧!$S21),IF(保険一覧!$J21="月払",保険一覧!$K21,IF(AND(保険一覧!$J21="年払",MONTH(L$4)=保険一覧!$R21),保険一覧!$K21,0)),0)</f>
        <v>0</v>
      </c>
      <c r="M22" s="34" t="n">
        <f aca="false">IF(OR(保険一覧!$S21="",M$4&lt;保険一覧!$S21),IF(保険一覧!$J21="月払",保険一覧!$K21,IF(AND(保険一覧!$J21="年払",MONTH(M$4)=保険一覧!$R21),保険一覧!$K21,0)),0)</f>
        <v>0</v>
      </c>
      <c r="N22" s="34" t="n">
        <f aca="false">IF(OR(保険一覧!$S21="",N$4&lt;保険一覧!$S21),IF(保険一覧!$J21="月払",保険一覧!$K21,IF(AND(保険一覧!$J21="年払",MONTH(N$4)=保険一覧!$R21),保険一覧!$K21,0)),0)</f>
        <v>769825</v>
      </c>
      <c r="O22" s="34" t="n">
        <f aca="false">IF(OR(保険一覧!$S21="",O$4&lt;保険一覧!$S21),IF(保険一覧!$J21="月払",保険一覧!$K21,IF(AND(保険一覧!$J21="年払",MONTH(O$4)=保険一覧!$R21),保険一覧!$K21,0)),0)</f>
        <v>0</v>
      </c>
      <c r="P22" s="34" t="n">
        <f aca="false">IF(OR(保険一覧!$S21="",P$4&lt;保険一覧!$S21),IF(保険一覧!$J21="月払",保険一覧!$K21,IF(AND(保険一覧!$J21="年払",MONTH(P$4)=保険一覧!$R21),保険一覧!$K21,0)),0)</f>
        <v>0</v>
      </c>
      <c r="Q22" s="34" t="n">
        <f aca="false">IF(OR(保険一覧!$S21="",Q$4&lt;保険一覧!$S21),IF(保険一覧!$J21="月払",保険一覧!$K21,IF(AND(保険一覧!$J21="年払",MONTH(Q$4)=保険一覧!$R21),保険一覧!$K21,0)),0)</f>
        <v>0</v>
      </c>
      <c r="R22" s="34" t="n">
        <f aca="false">IF(OR(保険一覧!$S21="",R$4&lt;保険一覧!$S21),IF(保険一覧!$J21="月払",保険一覧!$K21,IF(AND(保険一覧!$J21="年払",MONTH(R$4)=保険一覧!$R21),保険一覧!$K21,0)),0)</f>
        <v>0</v>
      </c>
      <c r="S22" s="34" t="n">
        <f aca="false">IF(OR(保険一覧!$S21="",S$4&lt;保険一覧!$S21),IF(保険一覧!$J21="月払",保険一覧!$K21,IF(AND(保険一覧!$J21="年払",MONTH(S$4)=保険一覧!$R21),保険一覧!$K21,0)),0)</f>
        <v>0</v>
      </c>
      <c r="T22" s="34" t="n">
        <f aca="false">IF(OR(保険一覧!$S21="",T$4&lt;保険一覧!$S21),IF(保険一覧!$J21="月払",保険一覧!$K21,IF(AND(保険一覧!$J21="年払",MONTH(T$4)=保険一覧!$R21),保険一覧!$K21,0)),0)</f>
        <v>0</v>
      </c>
      <c r="U22" s="10" t="n">
        <f aca="false">SUM(C22:T22)</f>
        <v>769825</v>
      </c>
      <c r="V22" s="10" t="n">
        <f aca="false">SUMIFS(C22:T22,$C$4:$T$4,"&gt;="&amp;DATE(2027,4,1),$C$4:$T$4,"&lt;="&amp;DATE(2028,3,1))</f>
        <v>769825</v>
      </c>
    </row>
    <row r="23" customFormat="false" ht="15" hidden="false" customHeight="false" outlineLevel="0" collapsed="false">
      <c r="A23" s="33" t="str">
        <f aca="false">保険一覧!A22&amp;" "&amp;保険一覧!B22&amp;" "&amp;保険一覧!H22</f>
        <v>18 明治安田 横山 清美</v>
      </c>
      <c r="B23" s="33"/>
      <c r="C23" s="34" t="n">
        <f aca="false">IF(OR(保険一覧!$S22="",C$4&lt;保険一覧!$S22),IF(保険一覧!$J22="月払",保険一覧!$K22,IF(AND(保険一覧!$J22="年払",MONTH(C$4)=保険一覧!$R22),保険一覧!$K22,0)),0)</f>
        <v>0</v>
      </c>
      <c r="D23" s="34" t="n">
        <f aca="false">IF(OR(保険一覧!$S22="",D$4&lt;保険一覧!$S22),IF(保険一覧!$J22="月払",保険一覧!$K22,IF(AND(保険一覧!$J22="年払",MONTH(D$4)=保険一覧!$R22),保険一覧!$K22,0)),0)</f>
        <v>0</v>
      </c>
      <c r="E23" s="34" t="n">
        <f aca="false">IF(OR(保険一覧!$S22="",E$4&lt;保険一覧!$S22),IF(保険一覧!$J22="月払",保険一覧!$K22,IF(AND(保険一覧!$J22="年払",MONTH(E$4)=保険一覧!$R22),保険一覧!$K22,0)),0)</f>
        <v>0</v>
      </c>
      <c r="F23" s="34" t="n">
        <f aca="false">IF(OR(保険一覧!$S22="",F$4&lt;保険一覧!$S22),IF(保険一覧!$J22="月払",保険一覧!$K22,IF(AND(保険一覧!$J22="年払",MONTH(F$4)=保険一覧!$R22),保険一覧!$K22,0)),0)</f>
        <v>0</v>
      </c>
      <c r="G23" s="34" t="n">
        <f aca="false">IF(OR(保険一覧!$S22="",G$4&lt;保険一覧!$S22),IF(保険一覧!$J22="月払",保険一覧!$K22,IF(AND(保険一覧!$J22="年払",MONTH(G$4)=保険一覧!$R22),保険一覧!$K22,0)),0)</f>
        <v>0</v>
      </c>
      <c r="H23" s="34" t="n">
        <f aca="false">IF(OR(保険一覧!$S22="",H$4&lt;保険一覧!$S22),IF(保険一覧!$J22="月払",保険一覧!$K22,IF(AND(保険一覧!$J22="年払",MONTH(H$4)=保険一覧!$R22),保険一覧!$K22,0)),0)</f>
        <v>0</v>
      </c>
      <c r="I23" s="34" t="n">
        <f aca="false">IF(OR(保険一覧!$S22="",I$4&lt;保険一覧!$S22),IF(保険一覧!$J22="月払",保険一覧!$K22,IF(AND(保険一覧!$J22="年払",MONTH(I$4)=保険一覧!$R22),保険一覧!$K22,0)),0)</f>
        <v>0</v>
      </c>
      <c r="J23" s="34" t="n">
        <f aca="false">IF(OR(保険一覧!$S22="",J$4&lt;保険一覧!$S22),IF(保険一覧!$J22="月払",保険一覧!$K22,IF(AND(保険一覧!$J22="年払",MONTH(J$4)=保険一覧!$R22),保険一覧!$K22,0)),0)</f>
        <v>0</v>
      </c>
      <c r="K23" s="34" t="n">
        <f aca="false">IF(OR(保険一覧!$S22="",K$4&lt;保険一覧!$S22),IF(保険一覧!$J22="月払",保険一覧!$K22,IF(AND(保険一覧!$J22="年払",MONTH(K$4)=保険一覧!$R22),保険一覧!$K22,0)),0)</f>
        <v>0</v>
      </c>
      <c r="L23" s="34" t="n">
        <f aca="false">IF(OR(保険一覧!$S22="",L$4&lt;保険一覧!$S22),IF(保険一覧!$J22="月払",保険一覧!$K22,IF(AND(保険一覧!$J22="年払",MONTH(L$4)=保険一覧!$R22),保険一覧!$K22,0)),0)</f>
        <v>0</v>
      </c>
      <c r="M23" s="34" t="n">
        <f aca="false">IF(OR(保険一覧!$S22="",M$4&lt;保険一覧!$S22),IF(保険一覧!$J22="月払",保険一覧!$K22,IF(AND(保険一覧!$J22="年払",MONTH(M$4)=保険一覧!$R22),保険一覧!$K22,0)),0)</f>
        <v>0</v>
      </c>
      <c r="N23" s="34" t="n">
        <f aca="false">IF(OR(保険一覧!$S22="",N$4&lt;保険一覧!$S22),IF(保険一覧!$J22="月払",保険一覧!$K22,IF(AND(保険一覧!$J22="年払",MONTH(N$4)=保険一覧!$R22),保険一覧!$K22,0)),0)</f>
        <v>746963</v>
      </c>
      <c r="O23" s="34" t="n">
        <f aca="false">IF(OR(保険一覧!$S22="",O$4&lt;保険一覧!$S22),IF(保険一覧!$J22="月払",保険一覧!$K22,IF(AND(保険一覧!$J22="年払",MONTH(O$4)=保険一覧!$R22),保険一覧!$K22,0)),0)</f>
        <v>0</v>
      </c>
      <c r="P23" s="34" t="n">
        <f aca="false">IF(OR(保険一覧!$S22="",P$4&lt;保険一覧!$S22),IF(保険一覧!$J22="月払",保険一覧!$K22,IF(AND(保険一覧!$J22="年払",MONTH(P$4)=保険一覧!$R22),保険一覧!$K22,0)),0)</f>
        <v>0</v>
      </c>
      <c r="Q23" s="34" t="n">
        <f aca="false">IF(OR(保険一覧!$S22="",Q$4&lt;保険一覧!$S22),IF(保険一覧!$J22="月払",保険一覧!$K22,IF(AND(保険一覧!$J22="年払",MONTH(Q$4)=保険一覧!$R22),保険一覧!$K22,0)),0)</f>
        <v>0</v>
      </c>
      <c r="R23" s="34" t="n">
        <f aca="false">IF(OR(保険一覧!$S22="",R$4&lt;保険一覧!$S22),IF(保険一覧!$J22="月払",保険一覧!$K22,IF(AND(保険一覧!$J22="年払",MONTH(R$4)=保険一覧!$R22),保険一覧!$K22,0)),0)</f>
        <v>0</v>
      </c>
      <c r="S23" s="34" t="n">
        <f aca="false">IF(OR(保険一覧!$S22="",S$4&lt;保険一覧!$S22),IF(保険一覧!$J22="月払",保険一覧!$K22,IF(AND(保険一覧!$J22="年払",MONTH(S$4)=保険一覧!$R22),保険一覧!$K22,0)),0)</f>
        <v>0</v>
      </c>
      <c r="T23" s="34" t="n">
        <f aca="false">IF(OR(保険一覧!$S22="",T$4&lt;保険一覧!$S22),IF(保険一覧!$J22="月払",保険一覧!$K22,IF(AND(保険一覧!$J22="年払",MONTH(T$4)=保険一覧!$R22),保険一覧!$K22,0)),0)</f>
        <v>0</v>
      </c>
      <c r="U23" s="10" t="n">
        <f aca="false">SUM(C23:T23)</f>
        <v>746963</v>
      </c>
      <c r="V23" s="10" t="n">
        <f aca="false">SUMIFS(C23:T23,$C$4:$T$4,"&gt;="&amp;DATE(2027,4,1),$C$4:$T$4,"&lt;="&amp;DATE(2028,3,1))</f>
        <v>746963</v>
      </c>
    </row>
    <row r="24" customFormat="false" ht="15" hidden="false" customHeight="false" outlineLevel="0" collapsed="false">
      <c r="A24" s="33" t="str">
        <f aca="false">保険一覧!A23&amp;" "&amp;保険一覧!B23&amp;" "&amp;保険一覧!H23</f>
        <v>19 大同生命 坂本 麻莉</v>
      </c>
      <c r="B24" s="33"/>
      <c r="C24" s="34" t="n">
        <f aca="false">IF(OR(保険一覧!$S23="",C$4&lt;保険一覧!$S23),IF(保険一覧!$J23="月払",保険一覧!$K23,IF(AND(保険一覧!$J23="年払",MONTH(C$4)=保険一覧!$R23),保険一覧!$K23,0)),0)</f>
        <v>0</v>
      </c>
      <c r="D24" s="34" t="n">
        <f aca="false">IF(OR(保険一覧!$S23="",D$4&lt;保険一覧!$S23),IF(保険一覧!$J23="月払",保険一覧!$K23,IF(AND(保険一覧!$J23="年払",MONTH(D$4)=保険一覧!$R23),保険一覧!$K23,0)),0)</f>
        <v>0</v>
      </c>
      <c r="E24" s="34" t="n">
        <f aca="false">IF(OR(保険一覧!$S23="",E$4&lt;保険一覧!$S23),IF(保険一覧!$J23="月払",保険一覧!$K23,IF(AND(保険一覧!$J23="年払",MONTH(E$4)=保険一覧!$R23),保険一覧!$K23,0)),0)</f>
        <v>0</v>
      </c>
      <c r="F24" s="34" t="n">
        <f aca="false">IF(OR(保険一覧!$S23="",F$4&lt;保険一覧!$S23),IF(保険一覧!$J23="月払",保険一覧!$K23,IF(AND(保険一覧!$J23="年払",MONTH(F$4)=保険一覧!$R23),保険一覧!$K23,0)),0)</f>
        <v>0</v>
      </c>
      <c r="G24" s="34" t="n">
        <f aca="false">IF(OR(保険一覧!$S23="",G$4&lt;保険一覧!$S23),IF(保険一覧!$J23="月払",保険一覧!$K23,IF(AND(保険一覧!$J23="年払",MONTH(G$4)=保険一覧!$R23),保険一覧!$K23,0)),0)</f>
        <v>0</v>
      </c>
      <c r="H24" s="34" t="n">
        <f aca="false">IF(OR(保険一覧!$S23="",H$4&lt;保険一覧!$S23),IF(保険一覧!$J23="月払",保険一覧!$K23,IF(AND(保険一覧!$J23="年払",MONTH(H$4)=保険一覧!$R23),保険一覧!$K23,0)),0)</f>
        <v>0</v>
      </c>
      <c r="I24" s="34" t="n">
        <f aca="false">IF(OR(保険一覧!$S23="",I$4&lt;保険一覧!$S23),IF(保険一覧!$J23="月払",保険一覧!$K23,IF(AND(保険一覧!$J23="年払",MONTH(I$4)=保険一覧!$R23),保険一覧!$K23,0)),0)</f>
        <v>0</v>
      </c>
      <c r="J24" s="34" t="n">
        <f aca="false">IF(OR(保険一覧!$S23="",J$4&lt;保険一覧!$S23),IF(保険一覧!$J23="月払",保険一覧!$K23,IF(AND(保険一覧!$J23="年払",MONTH(J$4)=保険一覧!$R23),保険一覧!$K23,0)),0)</f>
        <v>0</v>
      </c>
      <c r="K24" s="34" t="n">
        <f aca="false">IF(OR(保険一覧!$S23="",K$4&lt;保険一覧!$S23),IF(保険一覧!$J23="月払",保険一覧!$K23,IF(AND(保険一覧!$J23="年払",MONTH(K$4)=保険一覧!$R23),保険一覧!$K23,0)),0)</f>
        <v>0</v>
      </c>
      <c r="L24" s="34" t="n">
        <f aca="false">IF(OR(保険一覧!$S23="",L$4&lt;保険一覧!$S23),IF(保険一覧!$J23="月払",保険一覧!$K23,IF(AND(保険一覧!$J23="年払",MONTH(L$4)=保険一覧!$R23),保険一覧!$K23,0)),0)</f>
        <v>0</v>
      </c>
      <c r="M24" s="34" t="n">
        <f aca="false">IF(OR(保険一覧!$S23="",M$4&lt;保険一覧!$S23),IF(保険一覧!$J23="月払",保険一覧!$K23,IF(AND(保険一覧!$J23="年払",MONTH(M$4)=保険一覧!$R23),保険一覧!$K23,0)),0)</f>
        <v>0</v>
      </c>
      <c r="N24" s="34" t="n">
        <f aca="false">IF(OR(保険一覧!$S23="",N$4&lt;保険一覧!$S23),IF(保険一覧!$J23="月払",保険一覧!$K23,IF(AND(保険一覧!$J23="年払",MONTH(N$4)=保険一覧!$R23),保険一覧!$K23,0)),0)</f>
        <v>0</v>
      </c>
      <c r="O24" s="34" t="n">
        <f aca="false">IF(OR(保険一覧!$S23="",O$4&lt;保険一覧!$S23),IF(保険一覧!$J23="月払",保険一覧!$K23,IF(AND(保険一覧!$J23="年払",MONTH(O$4)=保険一覧!$R23),保険一覧!$K23,0)),0)</f>
        <v>0</v>
      </c>
      <c r="P24" s="34" t="n">
        <f aca="false">IF(OR(保険一覧!$S23="",P$4&lt;保険一覧!$S23),IF(保険一覧!$J23="月払",保険一覧!$K23,IF(AND(保険一覧!$J23="年払",MONTH(P$4)=保険一覧!$R23),保険一覧!$K23,0)),0)</f>
        <v>0</v>
      </c>
      <c r="Q24" s="34" t="n">
        <f aca="false">IF(OR(保険一覧!$S23="",Q$4&lt;保険一覧!$S23),IF(保険一覧!$J23="月払",保険一覧!$K23,IF(AND(保険一覧!$J23="年払",MONTH(Q$4)=保険一覧!$R23),保険一覧!$K23,0)),0)</f>
        <v>0</v>
      </c>
      <c r="R24" s="34" t="n">
        <f aca="false">IF(OR(保険一覧!$S23="",R$4&lt;保険一覧!$S23),IF(保険一覧!$J23="月払",保険一覧!$K23,IF(AND(保険一覧!$J23="年払",MONTH(R$4)=保険一覧!$R23),保険一覧!$K23,0)),0)</f>
        <v>0</v>
      </c>
      <c r="S24" s="34" t="n">
        <f aca="false">IF(OR(保険一覧!$S23="",S$4&lt;保険一覧!$S23),IF(保険一覧!$J23="月払",保険一覧!$K23,IF(AND(保険一覧!$J23="年払",MONTH(S$4)=保険一覧!$R23),保険一覧!$K23,0)),0)</f>
        <v>0</v>
      </c>
      <c r="T24" s="34" t="n">
        <f aca="false">IF(OR(保険一覧!$S23="",T$4&lt;保険一覧!$S23),IF(保険一覧!$J23="月払",保険一覧!$K23,IF(AND(保険一覧!$J23="年払",MONTH(T$4)=保険一覧!$R23),保険一覧!$K23,0)),0)</f>
        <v>0</v>
      </c>
      <c r="U24" s="10" t="n">
        <f aca="false">SUM(C24:T24)</f>
        <v>0</v>
      </c>
      <c r="V24" s="10" t="n">
        <f aca="false">SUMIFS(C24:T24,$C$4:$T$4,"&gt;="&amp;DATE(2027,4,1),$C$4:$T$4,"&lt;="&amp;DATE(2028,3,1))</f>
        <v>0</v>
      </c>
    </row>
    <row r="25" customFormat="false" ht="15" hidden="false" customHeight="false" outlineLevel="0" collapsed="false">
      <c r="A25" s="33" t="str">
        <f aca="false">保険一覧!A24&amp;" "&amp;保険一覧!B24&amp;" "&amp;保険一覧!H24</f>
        <v>20 大同生命 坂本 麻莉</v>
      </c>
      <c r="B25" s="33"/>
      <c r="C25" s="34" t="n">
        <f aca="false">IF(OR(保険一覧!$S24="",C$4&lt;保険一覧!$S24),IF(保険一覧!$J24="月払",保険一覧!$K24,IF(AND(保険一覧!$J24="年払",MONTH(C$4)=保険一覧!$R24),保険一覧!$K24,0)),0)</f>
        <v>28900</v>
      </c>
      <c r="D25" s="34" t="n">
        <f aca="false">IF(OR(保険一覧!$S24="",D$4&lt;保険一覧!$S24),IF(保険一覧!$J24="月払",保険一覧!$K24,IF(AND(保険一覧!$J24="年払",MONTH(D$4)=保険一覧!$R24),保険一覧!$K24,0)),0)</f>
        <v>28900</v>
      </c>
      <c r="E25" s="34" t="n">
        <f aca="false">IF(OR(保険一覧!$S24="",E$4&lt;保険一覧!$S24),IF(保険一覧!$J24="月払",保険一覧!$K24,IF(AND(保険一覧!$J24="年払",MONTH(E$4)=保険一覧!$R24),保険一覧!$K24,0)),0)</f>
        <v>28900</v>
      </c>
      <c r="F25" s="34" t="n">
        <f aca="false">IF(OR(保険一覧!$S24="",F$4&lt;保険一覧!$S24),IF(保険一覧!$J24="月払",保険一覧!$K24,IF(AND(保険一覧!$J24="年払",MONTH(F$4)=保険一覧!$R24),保険一覧!$K24,0)),0)</f>
        <v>28900</v>
      </c>
      <c r="G25" s="34" t="n">
        <f aca="false">IF(OR(保険一覧!$S24="",G$4&lt;保険一覧!$S24),IF(保険一覧!$J24="月払",保険一覧!$K24,IF(AND(保険一覧!$J24="年払",MONTH(G$4)=保険一覧!$R24),保険一覧!$K24,0)),0)</f>
        <v>28900</v>
      </c>
      <c r="H25" s="34" t="n">
        <f aca="false">IF(OR(保険一覧!$S24="",H$4&lt;保険一覧!$S24),IF(保険一覧!$J24="月払",保険一覧!$K24,IF(AND(保険一覧!$J24="年払",MONTH(H$4)=保険一覧!$R24),保険一覧!$K24,0)),0)</f>
        <v>28900</v>
      </c>
      <c r="I25" s="34" t="n">
        <f aca="false">IF(OR(保険一覧!$S24="",I$4&lt;保険一覧!$S24),IF(保険一覧!$J24="月払",保険一覧!$K24,IF(AND(保険一覧!$J24="年払",MONTH(I$4)=保険一覧!$R24),保険一覧!$K24,0)),0)</f>
        <v>28900</v>
      </c>
      <c r="J25" s="34" t="n">
        <f aca="false">IF(OR(保険一覧!$S24="",J$4&lt;保険一覧!$S24),IF(保険一覧!$J24="月払",保険一覧!$K24,IF(AND(保険一覧!$J24="年払",MONTH(J$4)=保険一覧!$R24),保険一覧!$K24,0)),0)</f>
        <v>28900</v>
      </c>
      <c r="K25" s="34" t="n">
        <f aca="false">IF(OR(保険一覧!$S24="",K$4&lt;保険一覧!$S24),IF(保険一覧!$J24="月払",保険一覧!$K24,IF(AND(保険一覧!$J24="年払",MONTH(K$4)=保険一覧!$R24),保険一覧!$K24,0)),0)</f>
        <v>28900</v>
      </c>
      <c r="L25" s="34" t="n">
        <f aca="false">IF(OR(保険一覧!$S24="",L$4&lt;保険一覧!$S24),IF(保険一覧!$J24="月払",保険一覧!$K24,IF(AND(保険一覧!$J24="年払",MONTH(L$4)=保険一覧!$R24),保険一覧!$K24,0)),0)</f>
        <v>28900</v>
      </c>
      <c r="M25" s="34" t="n">
        <f aca="false">IF(OR(保険一覧!$S24="",M$4&lt;保険一覧!$S24),IF(保険一覧!$J24="月払",保険一覧!$K24,IF(AND(保険一覧!$J24="年払",MONTH(M$4)=保険一覧!$R24),保険一覧!$K24,0)),0)</f>
        <v>28900</v>
      </c>
      <c r="N25" s="34" t="n">
        <f aca="false">IF(OR(保険一覧!$S24="",N$4&lt;保険一覧!$S24),IF(保険一覧!$J24="月払",保険一覧!$K24,IF(AND(保険一覧!$J24="年払",MONTH(N$4)=保険一覧!$R24),保険一覧!$K24,0)),0)</f>
        <v>28900</v>
      </c>
      <c r="O25" s="34" t="n">
        <f aca="false">IF(OR(保険一覧!$S24="",O$4&lt;保険一覧!$S24),IF(保険一覧!$J24="月払",保険一覧!$K24,IF(AND(保険一覧!$J24="年払",MONTH(O$4)=保険一覧!$R24),保険一覧!$K24,0)),0)</f>
        <v>28900</v>
      </c>
      <c r="P25" s="34" t="n">
        <f aca="false">IF(OR(保険一覧!$S24="",P$4&lt;保険一覧!$S24),IF(保険一覧!$J24="月払",保険一覧!$K24,IF(AND(保険一覧!$J24="年払",MONTH(P$4)=保険一覧!$R24),保険一覧!$K24,0)),0)</f>
        <v>28900</v>
      </c>
      <c r="Q25" s="34" t="n">
        <f aca="false">IF(OR(保険一覧!$S24="",Q$4&lt;保険一覧!$S24),IF(保険一覧!$J24="月払",保険一覧!$K24,IF(AND(保険一覧!$J24="年払",MONTH(Q$4)=保険一覧!$R24),保険一覧!$K24,0)),0)</f>
        <v>28900</v>
      </c>
      <c r="R25" s="34" t="n">
        <f aca="false">IF(OR(保険一覧!$S24="",R$4&lt;保険一覧!$S24),IF(保険一覧!$J24="月払",保険一覧!$K24,IF(AND(保険一覧!$J24="年払",MONTH(R$4)=保険一覧!$R24),保険一覧!$K24,0)),0)</f>
        <v>28900</v>
      </c>
      <c r="S25" s="34" t="n">
        <f aca="false">IF(OR(保険一覧!$S24="",S$4&lt;保険一覧!$S24),IF(保険一覧!$J24="月払",保険一覧!$K24,IF(AND(保険一覧!$J24="年払",MONTH(S$4)=保険一覧!$R24),保険一覧!$K24,0)),0)</f>
        <v>28900</v>
      </c>
      <c r="T25" s="34" t="n">
        <f aca="false">IF(OR(保険一覧!$S24="",T$4&lt;保険一覧!$S24),IF(保険一覧!$J24="月払",保険一覧!$K24,IF(AND(保険一覧!$J24="年払",MONTH(T$4)=保険一覧!$R24),保険一覧!$K24,0)),0)</f>
        <v>28900</v>
      </c>
      <c r="U25" s="10" t="n">
        <f aca="false">SUM(C25:T25)</f>
        <v>520200</v>
      </c>
      <c r="V25" s="10" t="n">
        <f aca="false">SUMIFS(C25:T25,$C$4:$T$4,"&gt;="&amp;DATE(2027,4,1),$C$4:$T$4,"&lt;="&amp;DATE(2028,3,1))</f>
        <v>346800</v>
      </c>
    </row>
    <row r="26" customFormat="false" ht="15" hidden="false" customHeight="false" outlineLevel="0" collapsed="false">
      <c r="A26" s="16" t="s">
        <v>134</v>
      </c>
      <c r="B26" s="35"/>
      <c r="C26" s="18" t="n">
        <f aca="false">SUM(C6:C25)</f>
        <v>892858</v>
      </c>
      <c r="D26" s="18" t="n">
        <f aca="false">SUM(D6:D25)</f>
        <v>892858</v>
      </c>
      <c r="E26" s="18" t="n">
        <f aca="false">SUM(E6:E25)</f>
        <v>892858</v>
      </c>
      <c r="F26" s="18" t="n">
        <f aca="false">SUM(F6:F25)</f>
        <v>892858</v>
      </c>
      <c r="G26" s="18" t="n">
        <f aca="false">SUM(G6:G25)</f>
        <v>892858</v>
      </c>
      <c r="H26" s="18" t="n">
        <f aca="false">SUM(H6:H25)</f>
        <v>892858</v>
      </c>
      <c r="I26" s="18" t="n">
        <f aca="false">SUM(I6:I25)</f>
        <v>892858</v>
      </c>
      <c r="J26" s="18" t="n">
        <f aca="false">SUM(J6:J25)</f>
        <v>892858</v>
      </c>
      <c r="K26" s="18" t="n">
        <f aca="false">SUM(K6:K25)</f>
        <v>12633297</v>
      </c>
      <c r="L26" s="18" t="n">
        <f aca="false">SUM(L6:L25)</f>
        <v>2600518</v>
      </c>
      <c r="M26" s="18" t="n">
        <f aca="false">SUM(M6:M25)</f>
        <v>892858</v>
      </c>
      <c r="N26" s="18" t="n">
        <f aca="false">SUM(N6:N25)</f>
        <v>10397518</v>
      </c>
      <c r="O26" s="18" t="n">
        <f aca="false">SUM(O6:O25)</f>
        <v>892858</v>
      </c>
      <c r="P26" s="18" t="n">
        <f aca="false">SUM(P6:P25)</f>
        <v>892858</v>
      </c>
      <c r="Q26" s="18" t="n">
        <f aca="false">SUM(Q6:Q25)</f>
        <v>892858</v>
      </c>
      <c r="R26" s="18" t="n">
        <f aca="false">SUM(R6:R25)</f>
        <v>892858</v>
      </c>
      <c r="S26" s="18" t="n">
        <f aca="false">SUM(S6:S25)</f>
        <v>892858</v>
      </c>
      <c r="T26" s="18" t="n">
        <f aca="false">SUM(T6:T25)</f>
        <v>892858</v>
      </c>
      <c r="U26" s="18" t="n">
        <f aca="false">SUM(U6:U25)</f>
        <v>39024203</v>
      </c>
      <c r="V26" s="18" t="n">
        <f aca="false">SUM(V6:V25)</f>
        <v>33667055</v>
      </c>
    </row>
    <row r="28" customFormat="false" ht="15" hidden="false" customHeight="false" outlineLevel="0" collapsed="false">
      <c r="A28" s="2" t="s">
        <v>135</v>
      </c>
    </row>
  </sheetData>
  <mergeCells count="20"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2026-10-27T01:16:05Z</dcterms:created>
  <dc:creator>openpyxl</dc:creator>
  <dc:description/>
  <dc:language>en-US</dc:language>
  <cp:lastModifiedBy/>
  <dcterms:modified xsi:type="dcterms:W3CDTF">2026-10-27T01:16:06Z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