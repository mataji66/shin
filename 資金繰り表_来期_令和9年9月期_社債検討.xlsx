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前提" sheetId="2" state="visible" r:id="rId4"/>
    <sheet name="資金繰り表" sheetId="3" state="visible" r:id="rId5"/>
    <sheet name="経費内訳" sheetId="4" state="visible" r:id="rId6"/>
    <sheet name="家賃明細" sheetId="5" state="visible" r:id="rId7"/>
    <sheet name="保険一覧" sheetId="6" state="visible" r:id="rId8"/>
    <sheet name="保険支払" sheetId="7" state="visible" r:id="rId9"/>
    <sheet name="返戻金推移" sheetId="8" state="visible" r:id="rId10"/>
    <sheet name="社債検討" sheetId="9" state="visible" r:id="rId11"/>
    <sheet name="実績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<sst xmlns="http://schemas.openxmlformats.org/spreadsheetml/2006/main" count="638" uniqueCount="409">
  <si>
    <r>
      <rPr>
        <b val="true"/>
        <sz val="14"/>
        <color rgb="FF000000"/>
        <rFont val="WenQuanYi Zen Hei"/>
        <family val="2"/>
      </rPr>
      <t xml:space="preserve">来期</t>
    </r>
    <r>
      <rPr>
        <b val="true"/>
        <sz val="14"/>
        <color rgb="FF000000"/>
        <rFont val="Arial"/>
        <family val="0"/>
        <charset val="1"/>
      </rPr>
      <t xml:space="preserve">(</t>
    </r>
    <r>
      <rPr>
        <b val="true"/>
        <sz val="14"/>
        <color rgb="FF000000"/>
        <rFont val="WenQuanYi Zen Hei"/>
        <family val="2"/>
      </rPr>
      <t xml:space="preserve">令和</t>
    </r>
    <r>
      <rPr>
        <b val="true"/>
        <sz val="14"/>
        <color rgb="FF000000"/>
        <rFont val="Arial"/>
        <family val="0"/>
        <charset val="1"/>
      </rPr>
      <t xml:space="preserve">9</t>
    </r>
    <r>
      <rPr>
        <b val="true"/>
        <sz val="14"/>
        <color rgb="FF000000"/>
        <rFont val="WenQuanYi Zen Hei"/>
        <family val="2"/>
      </rPr>
      <t xml:space="preserve">年</t>
    </r>
    <r>
      <rPr>
        <b val="true"/>
        <sz val="14"/>
        <color rgb="FF000000"/>
        <rFont val="Arial"/>
        <family val="0"/>
        <charset val="1"/>
      </rPr>
      <t xml:space="preserve">9</t>
    </r>
    <r>
      <rPr>
        <b val="true"/>
        <sz val="14"/>
        <color rgb="FF000000"/>
        <rFont val="WenQuanYi Zen Hei"/>
        <family val="2"/>
      </rPr>
      <t xml:space="preserve">月期</t>
    </r>
    <r>
      <rPr>
        <b val="true"/>
        <sz val="14"/>
        <color rgb="FF000000"/>
        <rFont val="Arial"/>
        <family val="0"/>
        <charset val="1"/>
      </rPr>
      <t xml:space="preserve">)</t>
    </r>
    <r>
      <rPr>
        <b val="true"/>
        <sz val="14"/>
        <color rgb="FF000000"/>
        <rFont val="WenQuanYi Zen Hei"/>
        <family val="2"/>
      </rPr>
      <t xml:space="preserve">資金繰り検討サマリー</t>
    </r>
    <r>
      <rPr>
        <b val="true"/>
        <sz val="14"/>
        <color rgb="FF000000"/>
        <rFont val="Arial"/>
        <family val="0"/>
        <charset val="1"/>
      </rPr>
      <t xml:space="preserve">(</t>
    </r>
    <r>
      <rPr>
        <b val="true"/>
        <sz val="14"/>
        <color rgb="FF000000"/>
        <rFont val="WenQuanYi Zen Hei"/>
        <family val="2"/>
      </rPr>
      <t xml:space="preserve">株式会社旭土地建物</t>
    </r>
    <r>
      <rPr>
        <b val="true"/>
        <sz val="14"/>
        <color rgb="FF000000"/>
        <rFont val="Arial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</si>
  <si>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来期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令和</t>
    </r>
    <r>
      <rPr>
        <i val="true"/>
        <sz val="10"/>
        <color rgb="FF595959"/>
        <rFont val="Arial"/>
        <family val="0"/>
        <charset val="1"/>
      </rPr>
      <t xml:space="preserve">8</t>
    </r>
    <r>
      <rPr>
        <i val="true"/>
        <sz val="10"/>
        <color rgb="FF595959"/>
        <rFont val="WenQuanYi Zen Hei"/>
        <family val="2"/>
      </rPr>
      <t xml:space="preserve">年</t>
    </r>
    <r>
      <rPr>
        <i val="true"/>
        <sz val="10"/>
        <color rgb="FF595959"/>
        <rFont val="Arial"/>
        <family val="0"/>
        <charset val="1"/>
      </rPr>
      <t xml:space="preserve">10</t>
    </r>
    <r>
      <rPr>
        <i val="true"/>
        <sz val="10"/>
        <color rgb="FF595959"/>
        <rFont val="WenQuanYi Zen Hei"/>
        <family val="2"/>
      </rPr>
      <t xml:space="preserve">月〜令和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年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月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決算月は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月</t>
    </r>
    <r>
      <rPr>
        <i val="true"/>
        <sz val="10"/>
        <color rgb="FF595959"/>
        <rFont val="Arial"/>
        <family val="0"/>
        <charset val="1"/>
      </rPr>
      <t xml:space="preserve">) </t>
    </r>
    <r>
      <rPr>
        <i val="true"/>
        <sz val="10"/>
        <color rgb="FF595959"/>
        <rFont val="WenQuanYi Zen Hei"/>
        <family val="2"/>
      </rPr>
      <t xml:space="preserve">・ 基礎資料</t>
    </r>
    <r>
      <rPr>
        <i val="true"/>
        <sz val="10"/>
        <color rgb="FF595959"/>
        <rFont val="Arial"/>
        <family val="0"/>
        <charset val="1"/>
      </rPr>
      <t xml:space="preserve">: </t>
    </r>
    <r>
      <rPr>
        <i val="true"/>
        <sz val="10"/>
        <color rgb="FF595959"/>
        <rFont val="WenQuanYi Zen Hei"/>
        <family val="2"/>
      </rPr>
      <t xml:space="preserve">令和</t>
    </r>
    <r>
      <rPr>
        <i val="true"/>
        <sz val="10"/>
        <color rgb="FF595959"/>
        <rFont val="Arial"/>
        <family val="0"/>
        <charset val="1"/>
      </rPr>
      <t xml:space="preserve">5</t>
    </r>
    <r>
      <rPr>
        <i val="true"/>
        <sz val="10"/>
        <color rgb="FF595959"/>
        <rFont val="WenQuanYi Zen Hei"/>
        <family val="2"/>
      </rPr>
      <t xml:space="preserve">〜</t>
    </r>
    <r>
      <rPr>
        <i val="true"/>
        <sz val="10"/>
        <color rgb="FF595959"/>
        <rFont val="Arial"/>
        <family val="0"/>
        <charset val="1"/>
      </rPr>
      <t xml:space="preserve">8</t>
    </r>
    <r>
      <rPr>
        <i val="true"/>
        <sz val="10"/>
        <color rgb="FF595959"/>
        <rFont val="WenQuanYi Zen Hei"/>
        <family val="2"/>
      </rPr>
      <t xml:space="preserve">年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月期の勘定科目残高推移表、賃貸収入明細</t>
    </r>
    <r>
      <rPr>
        <i val="true"/>
        <sz val="10"/>
        <color rgb="FF595959"/>
        <rFont val="Arial"/>
        <family val="0"/>
        <charset val="1"/>
      </rPr>
      <t xml:space="preserve">(R8.10.15)</t>
    </r>
    <r>
      <rPr>
        <i val="true"/>
        <sz val="10"/>
        <color rgb="FF595959"/>
        <rFont val="WenQuanYi Zen Hei"/>
        <family val="2"/>
      </rPr>
      <t xml:space="preserve">、保険一覧</t>
    </r>
    <r>
      <rPr>
        <i val="true"/>
        <sz val="10"/>
        <color rgb="FF595959"/>
        <rFont val="Arial"/>
        <family val="0"/>
        <charset val="1"/>
      </rPr>
      <t xml:space="preserve">(R8.6.10) </t>
    </r>
    <r>
      <rPr>
        <i val="true"/>
        <sz val="10"/>
        <color rgb="FF595959"/>
        <rFont val="WenQuanYi Zen Hei"/>
        <family val="2"/>
      </rPr>
      <t xml:space="preserve">・ 単位</t>
    </r>
    <r>
      <rPr>
        <i val="true"/>
        <sz val="10"/>
        <color rgb="FF595959"/>
        <rFont val="Arial"/>
        <family val="0"/>
        <charset val="1"/>
      </rPr>
      <t xml:space="preserve">: </t>
    </r>
    <r>
      <rPr>
        <i val="true"/>
        <sz val="10"/>
        <color rgb="FF595959"/>
        <rFont val="WenQuanYi Zen Hei"/>
        <family val="2"/>
      </rPr>
      <t xml:space="preserve">千円</t>
    </r>
  </si>
  <si>
    <t xml:space="preserve">主要指標</t>
  </si>
  <si>
    <r>
      <rPr>
        <b val="true"/>
        <sz val="10"/>
        <color rgb="FF000000"/>
        <rFont val="WenQuanYi Zen Hei"/>
        <family val="2"/>
      </rPr>
      <t xml:space="preserve">グラフ用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月次残高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</si>
  <si>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社債なし</t>
  </si>
  <si>
    <t xml:space="preserve">社債あり</t>
  </si>
  <si>
    <t xml:space="preserve">差額</t>
  </si>
  <si>
    <t xml:space="preserve">月</t>
  </si>
  <si>
    <r>
      <rPr>
        <sz val="10"/>
        <color rgb="FF000000"/>
        <rFont val="WenQuanYi Zen Hei"/>
        <family val="2"/>
      </rPr>
      <t xml:space="preserve">期首現預金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月末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</si>
  <si>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来期の収入計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家賃のみ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</si>
  <si>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来期の支出計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社債ありは購入代金を含む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</si>
  <si>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来期の収支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増減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</si>
  <si>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来期末残高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月末</t>
    </r>
    <r>
      <rPr>
        <sz val="10"/>
        <color rgb="FF000000"/>
        <rFont val="Arial"/>
        <family val="0"/>
        <charset val="1"/>
      </rPr>
      <t xml:space="preserve">)</t>
    </r>
  </si>
  <si>
    <t xml:space="preserve">来期の最低残高</t>
  </si>
  <si>
    <t xml:space="preserve">月平均の経費支出</t>
  </si>
  <si>
    <r>
      <rPr>
        <sz val="10"/>
        <color rgb="FF000000"/>
        <rFont val="WenQuanYi Zen Hei"/>
        <family val="2"/>
      </rPr>
      <t xml:space="preserve">期末残高の経費月数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手元流動性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</si>
  <si>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社債の年間税引後利息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円ベース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</si>
  <si>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社債の円ベース利回り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税引後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</si>
  <si>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損益分岐の償還時為替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/USD)</t>
    </r>
  </si>
  <si>
    <r>
      <rPr>
        <sz val="10"/>
        <color rgb="FF000000"/>
        <rFont val="WenQuanYi Zen Hei"/>
        <family val="2"/>
      </rPr>
      <t xml:space="preserve">参考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月期の現預金増減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実績</t>
    </r>
    <r>
      <rPr>
        <sz val="10"/>
        <color rgb="FF000000"/>
        <rFont val="Arial"/>
        <family val="0"/>
        <charset val="1"/>
      </rPr>
      <t xml:space="preserve">)</t>
    </r>
  </si>
  <si>
    <t xml:space="preserve">読み取りのポイント</t>
  </si>
  <si>
    <r>
      <rPr>
        <sz val="10"/>
        <color rgb="FF000000"/>
        <rFont val="WenQuanYi Zen Hei"/>
        <family val="2"/>
      </rPr>
      <t xml:space="preserve">・訂正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決算月は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月で、事業年度は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月〜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月でした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残高推移表の累計は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月起算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。先に年度を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月として見積もっていたため、期間・数値を作り直しました。</t>
    </r>
  </si>
  <si>
    <r>
      <rPr>
        <sz val="10"/>
        <color rgb="FF000000"/>
        <rFont val="WenQuanYi Zen Hei"/>
        <family val="2"/>
      </rPr>
      <t xml:space="preserve">・来期は建売・土地の在庫がなく収入は家賃のみ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最新明細で月約</t>
    </r>
    <r>
      <rPr>
        <sz val="10"/>
        <color rgb="FF000000"/>
        <rFont val="Arial"/>
        <family val="0"/>
        <charset val="1"/>
      </rPr>
      <t xml:space="preserve">380</t>
    </r>
    <r>
      <rPr>
        <sz val="10"/>
        <color rgb="FF000000"/>
        <rFont val="WenQuanYi Zen Hei"/>
        <family val="2"/>
      </rPr>
      <t xml:space="preserve">万円、年約</t>
    </r>
    <r>
      <rPr>
        <sz val="10"/>
        <color rgb="FF000000"/>
        <rFont val="Arial"/>
        <family val="0"/>
        <charset val="1"/>
      </rPr>
      <t xml:space="preserve">4,560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。令和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月期の現預金増加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8,550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は、土地売上約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億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WenQuanYi Zen Hei"/>
        <family val="2"/>
      </rPr>
      <t xml:space="preserve">万円や貸付金回収など在庫・貸付金の資金化によるもので、家賃と経費だけでは赤字です。</t>
    </r>
  </si>
  <si>
    <r>
      <rPr>
        <sz val="10"/>
        <color rgb="FF000000"/>
        <rFont val="WenQuanYi Zen Hei"/>
        <family val="2"/>
      </rPr>
      <t xml:space="preserve">・経費は令和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月期が約</t>
    </r>
    <r>
      <rPr>
        <sz val="10"/>
        <color rgb="FF000000"/>
        <rFont val="Arial"/>
        <family val="0"/>
        <charset val="1"/>
      </rPr>
      <t xml:space="preserve">7,878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月約</t>
    </r>
    <r>
      <rPr>
        <sz val="10"/>
        <color rgb="FF000000"/>
        <rFont val="Arial"/>
        <family val="0"/>
        <charset val="1"/>
      </rPr>
      <t xml:space="preserve">660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で前期並み。保険料は旭土地の保険一覧の現金支払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年約</t>
    </r>
    <r>
      <rPr>
        <sz val="10"/>
        <color rgb="FF000000"/>
        <rFont val="Arial"/>
        <family val="0"/>
        <charset val="1"/>
      </rPr>
      <t xml:space="preserve">3,367</t>
    </r>
    <r>
      <rPr>
        <sz val="10"/>
        <color rgb="FF000000"/>
        <rFont val="WenQuanYi Zen Hei"/>
        <family val="2"/>
      </rPr>
      <t xml:space="preserve">万円、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月・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月に集中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に置き換えており、会計上の保険料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2,462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より約</t>
    </r>
    <r>
      <rPr>
        <sz val="10"/>
        <color rgb="FF000000"/>
        <rFont val="Arial"/>
        <family val="0"/>
        <charset val="1"/>
      </rPr>
      <t xml:space="preserve">900</t>
    </r>
    <r>
      <rPr>
        <sz val="10"/>
        <color rgb="FF000000"/>
        <rFont val="WenQuanYi Zen Hei"/>
        <family val="2"/>
      </rPr>
      <t xml:space="preserve">万円多くなります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差は前払費用に計上されるもの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。</t>
    </r>
  </si>
  <si>
    <r>
      <rPr>
        <sz val="10"/>
        <color rgb="FF000000"/>
        <rFont val="WenQuanYi Zen Hei"/>
        <family val="2"/>
      </rPr>
      <t xml:space="preserve">・令和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月期の営業損失は約</t>
    </r>
    <r>
      <rPr>
        <sz val="10"/>
        <color rgb="FF000000"/>
        <rFont val="Arial"/>
        <family val="0"/>
        <charset val="1"/>
      </rPr>
      <t xml:space="preserve">8,700</t>
    </r>
    <r>
      <rPr>
        <sz val="10"/>
        <color rgb="FF000000"/>
        <rFont val="WenQuanYi Zen Hei"/>
        <family val="2"/>
      </rPr>
      <t xml:space="preserve">万円・経常損失約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億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土地売上が原価割れ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BS</t>
    </r>
    <r>
      <rPr>
        <sz val="10"/>
        <color rgb="FF000000"/>
        <rFont val="WenQuanYi Zen Hei"/>
        <family val="2"/>
      </rPr>
      <t xml:space="preserve">上の商品約</t>
    </r>
    <r>
      <rPr>
        <sz val="10"/>
        <color rgb="FF000000"/>
        <rFont val="Arial"/>
        <family val="0"/>
        <charset val="1"/>
      </rPr>
      <t xml:space="preserve">8,000</t>
    </r>
    <r>
      <rPr>
        <sz val="10"/>
        <color rgb="FF000000"/>
        <rFont val="WenQuanYi Zen Hei"/>
        <family val="2"/>
      </rPr>
      <t xml:space="preserve">万円の売却は見込んでいません。</t>
    </r>
  </si>
  <si>
    <r>
      <rPr>
        <sz val="10"/>
        <color rgb="FF000000"/>
        <rFont val="WenQuanYi Zen Hei"/>
        <family val="2"/>
      </rPr>
      <t xml:space="preserve">・社債</t>
    </r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WenQuanYi Zen Hei"/>
        <family val="2"/>
      </rPr>
      <t xml:space="preserve">万</t>
    </r>
    <r>
      <rPr>
        <sz val="10"/>
        <color rgb="FF000000"/>
        <rFont val="Arial"/>
        <family val="0"/>
        <charset val="1"/>
      </rPr>
      <t xml:space="preserve">USD(</t>
    </r>
    <r>
      <rPr>
        <sz val="10"/>
        <color rgb="FF000000"/>
        <rFont val="WenQuanYi Zen Hei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3,960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を購入しても、臨時収入ゼロの保守的な見積りで来期末の現預金は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億円を超えます。ただし家賃だけでは毎年残高が減るため、運転資金として何か月分残すかが判断軸です。</t>
    </r>
  </si>
  <si>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WenQuanYi Zen Hei"/>
        <family val="2"/>
      </rPr>
      <t xml:space="preserve">は米ドル建てのクーポンです。円ベースでは源泉税と為替で変動し、損益分岐は社債検討シートの通り。賃貸アパートとの比較は同シートの仮置き条件で確認してください。</t>
    </r>
  </si>
  <si>
    <r>
      <rPr>
        <sz val="10"/>
        <color rgb="FF000000"/>
        <rFont val="WenQuanYi Zen Hei"/>
        <family val="2"/>
      </rPr>
      <t xml:space="preserve">・長期未払金が令和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月に</t>
    </r>
    <r>
      <rPr>
        <sz val="10"/>
        <color rgb="FF000000"/>
        <rFont val="Arial"/>
        <family val="0"/>
        <charset val="1"/>
      </rPr>
      <t xml:space="preserve">4,691</t>
    </r>
    <r>
      <rPr>
        <sz val="10"/>
        <color rgb="FF000000"/>
        <rFont val="WenQuanYi Zen Hei"/>
        <family val="2"/>
      </rPr>
      <t xml:space="preserve">万円へ倍増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毎年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月に</t>
    </r>
    <r>
      <rPr>
        <sz val="10"/>
        <color rgb="FF000000"/>
        <rFont val="Arial"/>
        <family val="0"/>
        <charset val="1"/>
      </rPr>
      <t xml:space="preserve">2,345</t>
    </r>
    <r>
      <rPr>
        <sz val="10"/>
        <color rgb="FF000000"/>
        <rFont val="WenQuanYi Zen Hei"/>
        <family val="2"/>
      </rPr>
      <t xml:space="preserve">万円ずつ計上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。支払期日が未確認のため資金繰り表には含めていません。決まれば手入力欄へ。</t>
    </r>
  </si>
  <si>
    <r>
      <rPr>
        <sz val="10"/>
        <color rgb="FF000000"/>
        <rFont val="WenQuanYi Zen Hei"/>
        <family val="2"/>
      </rPr>
      <t xml:space="preserve">・短期貸付金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億</t>
    </r>
    <r>
      <rPr>
        <sz val="10"/>
        <color rgb="FF000000"/>
        <rFont val="Arial"/>
        <family val="0"/>
        <charset val="1"/>
      </rPr>
      <t xml:space="preserve">6,267</t>
    </r>
    <r>
      <rPr>
        <sz val="10"/>
        <color rgb="FF000000"/>
        <rFont val="WenQuanYi Zen Hei"/>
        <family val="2"/>
      </rPr>
      <t xml:space="preserve">万円・未収入金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億</t>
    </r>
    <r>
      <rPr>
        <sz val="10"/>
        <color rgb="FF000000"/>
        <rFont val="Arial"/>
        <family val="0"/>
        <charset val="1"/>
      </rPr>
      <t xml:space="preserve">5,114</t>
    </r>
    <r>
      <rPr>
        <sz val="10"/>
        <color rgb="FF000000"/>
        <rFont val="WenQuanYi Zen Hei"/>
        <family val="2"/>
      </rPr>
      <t xml:space="preserve">万円・前渡金</t>
    </r>
    <r>
      <rPr>
        <sz val="10"/>
        <color rgb="FF000000"/>
        <rFont val="Arial"/>
        <family val="0"/>
        <charset val="1"/>
      </rPr>
      <t xml:space="preserve">1,500</t>
    </r>
    <r>
      <rPr>
        <sz val="10"/>
        <color rgb="FF000000"/>
        <rFont val="WenQuanYi Zen Hei"/>
        <family val="2"/>
      </rPr>
      <t xml:space="preserve">万円は回収予定を反映していません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月期は貸付金が約</t>
    </r>
    <r>
      <rPr>
        <sz val="10"/>
        <color rgb="FF000000"/>
        <rFont val="Arial"/>
        <family val="0"/>
        <charset val="1"/>
      </rPr>
      <t xml:space="preserve">4,200</t>
    </r>
    <r>
      <rPr>
        <sz val="10"/>
        <color rgb="FF000000"/>
        <rFont val="WenQuanYi Zen Hei"/>
        <family val="2"/>
      </rPr>
      <t xml:space="preserve">万円回収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。回収計画があれば手入力欄へ。</t>
    </r>
  </si>
  <si>
    <r>
      <rPr>
        <b val="true"/>
        <sz val="13"/>
        <color rgb="FF000000"/>
        <rFont val="WenQuanYi Zen Hei"/>
        <family val="2"/>
      </rPr>
      <t xml:space="preserve">前提条件</t>
    </r>
    <r>
      <rPr>
        <b val="true"/>
        <sz val="13"/>
        <color rgb="FF000000"/>
        <rFont val="Arial"/>
        <family val="0"/>
        <charset val="1"/>
      </rPr>
      <t xml:space="preserve">(</t>
    </r>
    <r>
      <rPr>
        <b val="true"/>
        <sz val="13"/>
        <color rgb="FF000000"/>
        <rFont val="WenQuanYi Zen Hei"/>
        <family val="2"/>
      </rPr>
      <t xml:space="preserve">青字・黄色セルを変更すると資金繰り表が再計算されます</t>
    </r>
    <r>
      <rPr>
        <b val="true"/>
        <sz val="13"/>
        <color rgb="FF000000"/>
        <rFont val="Arial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</si>
  <si>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来期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令和</t>
    </r>
    <r>
      <rPr>
        <i val="true"/>
        <sz val="10"/>
        <color rgb="FF595959"/>
        <rFont val="Arial"/>
        <family val="0"/>
        <charset val="1"/>
      </rPr>
      <t xml:space="preserve">8</t>
    </r>
    <r>
      <rPr>
        <i val="true"/>
        <sz val="10"/>
        <color rgb="FF595959"/>
        <rFont val="WenQuanYi Zen Hei"/>
        <family val="2"/>
      </rPr>
      <t xml:space="preserve">年</t>
    </r>
    <r>
      <rPr>
        <i val="true"/>
        <sz val="10"/>
        <color rgb="FF595959"/>
        <rFont val="Arial"/>
        <family val="0"/>
        <charset val="1"/>
      </rPr>
      <t xml:space="preserve">10</t>
    </r>
    <r>
      <rPr>
        <i val="true"/>
        <sz val="10"/>
        <color rgb="FF595959"/>
        <rFont val="WenQuanYi Zen Hei"/>
        <family val="2"/>
      </rPr>
      <t xml:space="preserve">月〜令和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年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月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令和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年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月期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。金額は円。青字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入力値、黒字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計算、緑字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他シート参照。</t>
    </r>
  </si>
  <si>
    <r>
      <rPr>
        <b val="true"/>
        <sz val="10"/>
        <color rgb="FF000000"/>
        <rFont val="Arial"/>
        <family val="0"/>
        <charset val="1"/>
      </rPr>
      <t xml:space="preserve">1. </t>
    </r>
    <r>
      <rPr>
        <b val="true"/>
        <sz val="10"/>
        <color rgb="FF000000"/>
        <rFont val="WenQuanYi Zen Hei"/>
        <family val="2"/>
      </rPr>
      <t xml:space="preserve">開始残高・収入</t>
    </r>
  </si>
  <si>
    <r>
      <rPr>
        <sz val="10"/>
        <color rgb="FF595959"/>
        <rFont val="Arial"/>
        <family val="0"/>
        <charset val="1"/>
      </rPr>
      <t xml:space="preserve">BS</t>
    </r>
    <r>
      <rPr>
        <sz val="10"/>
        <color rgb="FF595959"/>
        <rFont val="WenQuanYi Zen Hei"/>
        <family val="2"/>
      </rPr>
      <t xml:space="preserve">現預金小計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現金・当座・普通・定期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WenQuanYi Zen Hei"/>
        <family val="2"/>
      </rPr>
      <t xml:space="preserve">。出典</t>
    </r>
    <r>
      <rPr>
        <sz val="10"/>
        <color rgb="FF595959"/>
        <rFont val="Arial"/>
        <family val="0"/>
        <charset val="1"/>
      </rPr>
      <t xml:space="preserve">:</t>
    </r>
    <r>
      <rPr>
        <sz val="10"/>
        <color rgb="FF595959"/>
        <rFont val="WenQuanYi Zen Hei"/>
        <family val="2"/>
      </rPr>
      <t xml:space="preserve">残高推移表</t>
    </r>
  </si>
  <si>
    <r>
      <rPr>
        <sz val="10"/>
        <color rgb="FF000000"/>
        <rFont val="WenQuanYi Zen Hei"/>
        <family val="2"/>
      </rPr>
      <t xml:space="preserve">賃貸収入 月額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最新の家賃明細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</si>
  <si>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595959"/>
        <rFont val="WenQuanYi Zen Hei"/>
        <family val="2"/>
      </rPr>
      <t xml:space="preserve">令和</t>
    </r>
    <r>
      <rPr>
        <sz val="10"/>
        <color rgb="FF595959"/>
        <rFont val="Arial"/>
        <family val="0"/>
        <charset val="1"/>
      </rPr>
      <t xml:space="preserve">8</t>
    </r>
    <r>
      <rPr>
        <sz val="10"/>
        <color rgb="FF595959"/>
        <rFont val="WenQuanYi Zen Hei"/>
        <family val="2"/>
      </rPr>
      <t xml:space="preserve">年</t>
    </r>
    <r>
      <rPr>
        <sz val="10"/>
        <color rgb="FF595959"/>
        <rFont val="Arial"/>
        <family val="0"/>
        <charset val="1"/>
      </rPr>
      <t xml:space="preserve">10</t>
    </r>
    <r>
      <rPr>
        <sz val="10"/>
        <color rgb="FF595959"/>
        <rFont val="WenQuanYi Zen Hei"/>
        <family val="2"/>
      </rPr>
      <t xml:space="preserve">月</t>
    </r>
    <r>
      <rPr>
        <sz val="10"/>
        <color rgb="FF595959"/>
        <rFont val="Arial"/>
        <family val="0"/>
        <charset val="1"/>
      </rPr>
      <t xml:space="preserve">15</t>
    </r>
    <r>
      <rPr>
        <sz val="10"/>
        <color rgb="FF595959"/>
        <rFont val="WenQuanYi Zen Hei"/>
        <family val="2"/>
      </rPr>
      <t xml:space="preserve">日付「賃貸収入・支出明細」旭土地建物の月額合計。毎月同額で計上</t>
    </r>
  </si>
  <si>
    <r>
      <rPr>
        <sz val="10"/>
        <color rgb="FF000000"/>
        <rFont val="WenQuanYi Zen Hei"/>
        <family val="2"/>
      </rPr>
      <t xml:space="preserve">参考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月期の賃貸売上 月平均</t>
    </r>
  </si>
  <si>
    <t xml:space="preserve">会計上の実績。最新明細との差は家賃明細シート参照</t>
  </si>
  <si>
    <r>
      <rPr>
        <sz val="10"/>
        <color rgb="FF000000"/>
        <rFont val="WenQuanYi Zen Hei"/>
        <family val="2"/>
      </rPr>
      <t xml:space="preserve">参考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月期の土地売上</t>
    </r>
  </si>
  <si>
    <r>
      <rPr>
        <sz val="10"/>
        <color rgb="FF595959"/>
        <rFont val="WenQuanYi Zen Hei"/>
        <family val="2"/>
      </rPr>
      <t xml:space="preserve">来期は建売・土地の在庫がないため見込まない</t>
    </r>
    <r>
      <rPr>
        <sz val="10"/>
        <color rgb="FF595959"/>
        <rFont val="Arial"/>
        <family val="0"/>
        <charset val="1"/>
      </rPr>
      <t xml:space="preserve">(0)</t>
    </r>
  </si>
  <si>
    <r>
      <rPr>
        <sz val="10"/>
        <color rgb="FF000000"/>
        <rFont val="WenQuanYi Zen Hei"/>
        <family val="2"/>
      </rPr>
      <t xml:space="preserve">保険料の見積り方法</t>
    </r>
    <r>
      <rPr>
        <sz val="10"/>
        <color rgb="FF000000"/>
        <rFont val="Arial"/>
        <family val="0"/>
        <charset val="1"/>
      </rPr>
      <t xml:space="preserve">(1=</t>
    </r>
    <r>
      <rPr>
        <sz val="10"/>
        <color rgb="FF000000"/>
        <rFont val="WenQuanYi Zen Hei"/>
        <family val="2"/>
      </rPr>
      <t xml:space="preserve">保険一覧の支払スケジュール </t>
    </r>
    <r>
      <rPr>
        <sz val="10"/>
        <color rgb="FF000000"/>
        <rFont val="Arial"/>
        <family val="0"/>
        <charset val="1"/>
      </rPr>
      <t xml:space="preserve">0=</t>
    </r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月期の実績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</si>
  <si>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595959"/>
        <rFont val="Arial"/>
        <family val="0"/>
        <charset val="1"/>
      </rPr>
      <t xml:space="preserve">1=</t>
    </r>
    <r>
      <rPr>
        <sz val="10"/>
        <color rgb="FF595959"/>
        <rFont val="WenQuanYi Zen Hei"/>
        <family val="2"/>
      </rPr>
      <t xml:space="preserve">現金ベース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契約ごとの払込方法・支払月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WenQuanYi Zen Hei"/>
        <family val="2"/>
      </rPr>
      <t xml:space="preserve">。</t>
    </r>
    <r>
      <rPr>
        <sz val="10"/>
        <color rgb="FF595959"/>
        <rFont val="Arial"/>
        <family val="0"/>
        <charset val="1"/>
      </rPr>
      <t xml:space="preserve">0=</t>
    </r>
    <r>
      <rPr>
        <sz val="10"/>
        <color rgb="FF595959"/>
        <rFont val="WenQuanYi Zen Hei"/>
        <family val="2"/>
      </rPr>
      <t xml:space="preserve">会計上の保険料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損金計上額ベース</t>
    </r>
    <r>
      <rPr>
        <sz val="10"/>
        <color rgb="FF595959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</si>
  <si>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2. </t>
    </r>
    <r>
      <rPr>
        <b val="true"/>
        <sz val="10"/>
        <color rgb="FF000000"/>
        <rFont val="WenQuanYi Zen Hei"/>
        <family val="2"/>
      </rPr>
      <t xml:space="preserve">消費税納付</t>
    </r>
  </si>
  <si>
    <r>
      <rPr>
        <sz val="10"/>
        <color rgb="FF000000"/>
        <rFont val="WenQuanYi Zen Hei"/>
        <family val="2"/>
      </rPr>
      <t xml:space="preserve">仮受消費税等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月末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</si>
  <si>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595959"/>
        <rFont val="Arial"/>
        <family val="0"/>
        <charset val="1"/>
      </rPr>
      <t xml:space="preserve">BS</t>
    </r>
    <r>
      <rPr>
        <sz val="10"/>
        <color rgb="FF595959"/>
        <rFont val="WenQuanYi Zen Hei"/>
        <family val="2"/>
      </rPr>
      <t xml:space="preserve">負債の部</t>
    </r>
  </si>
  <si>
    <r>
      <rPr>
        <sz val="10"/>
        <color rgb="FF000000"/>
        <rFont val="WenQuanYi Zen Hei"/>
        <family val="2"/>
      </rPr>
      <t xml:space="preserve">仮払消費税等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月末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</si>
  <si>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595959"/>
        <rFont val="Arial"/>
        <family val="0"/>
        <charset val="1"/>
      </rPr>
      <t xml:space="preserve">BS</t>
    </r>
    <r>
      <rPr>
        <sz val="10"/>
        <color rgb="FF595959"/>
        <rFont val="WenQuanYi Zen Hei"/>
        <family val="2"/>
      </rPr>
      <t xml:space="preserve">資産の部</t>
    </r>
  </si>
  <si>
    <r>
      <rPr>
        <sz val="10"/>
        <color rgb="FF000000"/>
        <rFont val="WenQuanYi Zen Hei"/>
        <family val="2"/>
      </rPr>
      <t xml:space="preserve">納付月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決算の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か月後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</si>
  <si>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595959"/>
        <rFont val="Arial"/>
        <family val="0"/>
        <charset val="1"/>
      </rPr>
      <t xml:space="preserve">9</t>
    </r>
    <r>
      <rPr>
        <sz val="10"/>
        <color rgb="FF595959"/>
        <rFont val="WenQuanYi Zen Hei"/>
        <family val="2"/>
      </rPr>
      <t xml:space="preserve">月決算→</t>
    </r>
    <r>
      <rPr>
        <sz val="10"/>
        <color rgb="FF595959"/>
        <rFont val="Arial"/>
        <family val="0"/>
        <charset val="1"/>
      </rPr>
      <t xml:space="preserve">11</t>
    </r>
    <r>
      <rPr>
        <sz val="10"/>
        <color rgb="FF595959"/>
        <rFont val="WenQuanYi Zen Hei"/>
        <family val="2"/>
      </rPr>
      <t xml:space="preserve">月末納付</t>
    </r>
  </si>
  <si>
    <r>
      <rPr>
        <sz val="10"/>
        <color rgb="FF000000"/>
        <rFont val="WenQuanYi Zen Hei"/>
        <family val="2"/>
      </rPr>
      <t xml:space="preserve">消費税納付見込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月期分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</si>
  <si>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595959"/>
        <rFont val="WenQuanYi Zen Hei"/>
        <family val="2"/>
      </rPr>
      <t xml:space="preserve">差額の概算。来期分の預り消費税は来々期に納付のため、来期の収入側には含めていません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保守的</t>
    </r>
    <r>
      <rPr>
        <sz val="10"/>
        <color rgb="FF595959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</si>
  <si>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3. </t>
    </r>
    <r>
      <rPr>
        <b val="true"/>
        <sz val="10"/>
        <color rgb="FF000000"/>
        <rFont val="WenQuanYi Zen Hei"/>
        <family val="2"/>
      </rPr>
      <t xml:space="preserve">社債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大和証券 提案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</si>
  <si>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購入額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額面・</t>
    </r>
    <r>
      <rPr>
        <sz val="10"/>
        <color rgb="FF000000"/>
        <rFont val="Arial"/>
        <family val="0"/>
        <charset val="1"/>
      </rPr>
      <t xml:space="preserve">USD)</t>
    </r>
  </si>
  <si>
    <r>
      <rPr>
        <sz val="10"/>
        <color rgb="FF595959"/>
        <rFont val="WenQuanYi Zen Hei"/>
        <family val="2"/>
      </rPr>
      <t xml:space="preserve">最低購入単位</t>
    </r>
    <r>
      <rPr>
        <sz val="10"/>
        <color rgb="FF595959"/>
        <rFont val="Arial"/>
        <family val="0"/>
        <charset val="1"/>
      </rPr>
      <t xml:space="preserve">25</t>
    </r>
    <r>
      <rPr>
        <sz val="10"/>
        <color rgb="FF595959"/>
        <rFont val="WenQuanYi Zen Hei"/>
        <family val="2"/>
      </rPr>
      <t xml:space="preserve">万ドル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ご提示</t>
    </r>
    <r>
      <rPr>
        <sz val="10"/>
        <color rgb="FF595959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</si>
  <si>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購入時為替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/USD)</t>
    </r>
  </si>
  <si>
    <r>
      <rPr>
        <sz val="10"/>
        <color rgb="FF595959"/>
        <rFont val="Arial"/>
        <family val="0"/>
        <charset val="1"/>
      </rPr>
      <t xml:space="preserve">OANDA 2026/10/20</t>
    </r>
    <r>
      <rPr>
        <sz val="10"/>
        <color rgb="FF595959"/>
        <rFont val="WenQuanYi Zen Hei"/>
        <family val="2"/>
      </rPr>
      <t xml:space="preserve">「</t>
    </r>
    <r>
      <rPr>
        <sz val="10"/>
        <color rgb="FF595959"/>
        <rFont val="Arial"/>
        <family val="0"/>
        <charset val="1"/>
      </rPr>
      <t xml:space="preserve">158</t>
    </r>
    <r>
      <rPr>
        <sz val="10"/>
        <color rgb="FF595959"/>
        <rFont val="WenQuanYi Zen Hei"/>
        <family val="2"/>
      </rPr>
      <t xml:space="preserve">円台半ば」を参考にした仮置き。実際の約定レートに置換</t>
    </r>
  </si>
  <si>
    <r>
      <rPr>
        <sz val="10"/>
        <color rgb="FF000000"/>
        <rFont val="WenQuanYi Zen Hei"/>
        <family val="2"/>
      </rPr>
      <t xml:space="preserve">為替手数料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/USD)</t>
    </r>
  </si>
  <si>
    <r>
      <rPr>
        <sz val="10"/>
        <color rgb="FF595959"/>
        <rFont val="WenQuanYi Zen Hei"/>
        <family val="2"/>
      </rPr>
      <t xml:space="preserve">仮置き。大和証券へ要確認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購入価格に含まれる場合あり</t>
    </r>
    <r>
      <rPr>
        <sz val="10"/>
        <color rgb="FF595959"/>
        <rFont val="Arial"/>
        <family val="0"/>
        <charset val="1"/>
      </rPr>
      <t xml:space="preserve">)</t>
    </r>
  </si>
  <si>
    <t xml:space="preserve">購入年月</t>
  </si>
  <si>
    <r>
      <rPr>
        <sz val="10"/>
        <color rgb="FF595959"/>
        <rFont val="WenQuanYi Zen Hei"/>
        <family val="2"/>
      </rPr>
      <t xml:space="preserve">仮置き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申込〜受渡し日に合わせて変更</t>
    </r>
    <r>
      <rPr>
        <sz val="10"/>
        <color rgb="FF595959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</si>
  <si>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年利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クーポン</t>
    </r>
    <r>
      <rPr>
        <sz val="10"/>
        <color rgb="FF000000"/>
        <rFont val="Arial"/>
        <family val="0"/>
        <charset val="1"/>
      </rPr>
      <t xml:space="preserve">)</t>
    </r>
  </si>
  <si>
    <t xml:space="preserve">ご提示。「利回り」か「表面利率」か、発行価格が額面かは要確認</t>
  </si>
  <si>
    <r>
      <rPr>
        <sz val="10"/>
        <color rgb="FF000000"/>
        <rFont val="WenQuanYi Zen Hei"/>
        <family val="2"/>
      </rPr>
      <t xml:space="preserve">利払回数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</si>
  <si>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595959"/>
        <rFont val="Arial"/>
        <family val="0"/>
        <charset val="1"/>
      </rPr>
      <t xml:space="preserve">1=</t>
    </r>
    <r>
      <rPr>
        <sz val="10"/>
        <color rgb="FF595959"/>
        <rFont val="WenQuanYi Zen Hei"/>
        <family val="2"/>
      </rPr>
      <t xml:space="preserve">年</t>
    </r>
    <r>
      <rPr>
        <sz val="10"/>
        <color rgb="FF595959"/>
        <rFont val="Arial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回、</t>
    </r>
    <r>
      <rPr>
        <sz val="10"/>
        <color rgb="FF595959"/>
        <rFont val="Arial"/>
        <family val="0"/>
        <charset val="1"/>
      </rPr>
      <t xml:space="preserve">2=</t>
    </r>
    <r>
      <rPr>
        <sz val="10"/>
        <color rgb="FF595959"/>
        <rFont val="WenQuanYi Zen Hei"/>
        <family val="2"/>
      </rPr>
      <t xml:space="preserve">半年ごと。要確認</t>
    </r>
  </si>
  <si>
    <t xml:space="preserve">国内源泉徴収税率</t>
  </si>
  <si>
    <r>
      <rPr>
        <sz val="10"/>
        <color rgb="FF595959"/>
        <rFont val="WenQuanYi Zen Hei"/>
        <family val="2"/>
      </rPr>
      <t xml:space="preserve">法人は所得税</t>
    </r>
    <r>
      <rPr>
        <sz val="10"/>
        <color rgb="FF595959"/>
        <rFont val="Arial"/>
        <family val="0"/>
        <charset val="1"/>
      </rPr>
      <t xml:space="preserve">15.315%</t>
    </r>
    <r>
      <rPr>
        <sz val="10"/>
        <color rgb="FF595959"/>
        <rFont val="WenQuanYi Zen Hei"/>
        <family val="2"/>
      </rPr>
      <t xml:space="preserve">が源泉され法人税から控除される想定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欠損のため還付は決算後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WenQuanYi Zen Hei"/>
        <family val="2"/>
      </rPr>
      <t xml:space="preserve">。税理士確認</t>
    </r>
  </si>
  <si>
    <r>
      <rPr>
        <sz val="10"/>
        <color rgb="FF000000"/>
        <rFont val="WenQuanYi Zen Hei"/>
        <family val="2"/>
      </rPr>
      <t xml:space="preserve">保有期間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</si>
  <si>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595959"/>
        <rFont val="Arial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年満期</t>
    </r>
  </si>
  <si>
    <t xml:space="preserve">利払時の想定為替</t>
  </si>
  <si>
    <r>
      <rPr>
        <sz val="10"/>
        <color rgb="FF595959"/>
        <rFont val="WenQuanYi Zen Hei"/>
        <family val="2"/>
      </rPr>
      <t xml:space="preserve">既定</t>
    </r>
    <r>
      <rPr>
        <sz val="10"/>
        <color rgb="FF595959"/>
        <rFont val="Arial"/>
        <family val="0"/>
        <charset val="1"/>
      </rPr>
      <t xml:space="preserve">=</t>
    </r>
    <r>
      <rPr>
        <sz val="10"/>
        <color rgb="FF595959"/>
        <rFont val="WenQuanYi Zen Hei"/>
        <family val="2"/>
      </rPr>
      <t xml:space="preserve">購入時と同じ。円高</t>
    </r>
    <r>
      <rPr>
        <sz val="10"/>
        <color rgb="FF595959"/>
        <rFont val="Arial"/>
        <family val="0"/>
        <charset val="1"/>
      </rPr>
      <t xml:space="preserve">/</t>
    </r>
    <r>
      <rPr>
        <sz val="10"/>
        <color rgb="FF595959"/>
        <rFont val="WenQuanYi Zen Hei"/>
        <family val="2"/>
      </rPr>
      <t xml:space="preserve">円安シナリオは上書き</t>
    </r>
  </si>
  <si>
    <t xml:space="preserve">償還時の想定為替</t>
  </si>
  <si>
    <r>
      <rPr>
        <sz val="10"/>
        <color rgb="FF595959"/>
        <rFont val="WenQuanYi Zen Hei"/>
        <family val="2"/>
      </rPr>
      <t xml:space="preserve">既定</t>
    </r>
    <r>
      <rPr>
        <sz val="10"/>
        <color rgb="FF595959"/>
        <rFont val="Arial"/>
        <family val="0"/>
        <charset val="1"/>
      </rPr>
      <t xml:space="preserve">=</t>
    </r>
    <r>
      <rPr>
        <sz val="10"/>
        <color rgb="FF595959"/>
        <rFont val="WenQuanYi Zen Hei"/>
        <family val="2"/>
      </rPr>
      <t xml:space="preserve">購入時と同じ。円高</t>
    </r>
    <r>
      <rPr>
        <sz val="10"/>
        <color rgb="FF595959"/>
        <rFont val="Arial"/>
        <family val="0"/>
        <charset val="1"/>
      </rPr>
      <t xml:space="preserve">/</t>
    </r>
    <r>
      <rPr>
        <sz val="10"/>
        <color rgb="FF595959"/>
        <rFont val="WenQuanYi Zen Hei"/>
        <family val="2"/>
      </rPr>
      <t xml:space="preserve">円安シナリオは社債検討シートで分析</t>
    </r>
  </si>
  <si>
    <r>
      <rPr>
        <sz val="10"/>
        <color rgb="FF000000"/>
        <rFont val="WenQuanYi Zen Hei"/>
        <family val="2"/>
      </rPr>
      <t xml:space="preserve">購入代金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</si>
  <si>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4. </t>
    </r>
    <r>
      <rPr>
        <b val="true"/>
        <sz val="10"/>
        <color rgb="FF000000"/>
        <rFont val="WenQuanYi Zen Hei"/>
        <family val="2"/>
      </rPr>
      <t xml:space="preserve">経費の月別パターン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現預金の支出ベース・減価償却費を除く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</si>
  <si>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令和</t>
    </r>
    <r>
      <rPr>
        <i val="true"/>
        <sz val="10"/>
        <color rgb="FF595959"/>
        <rFont val="Arial"/>
        <family val="0"/>
        <charset val="1"/>
      </rPr>
      <t xml:space="preserve">8</t>
    </r>
    <r>
      <rPr>
        <i val="true"/>
        <sz val="10"/>
        <color rgb="FF595959"/>
        <rFont val="WenQuanYi Zen Hei"/>
        <family val="2"/>
      </rPr>
      <t xml:space="preserve">年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月期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令和</t>
    </r>
    <r>
      <rPr>
        <i val="true"/>
        <sz val="10"/>
        <color rgb="FF595959"/>
        <rFont val="Arial"/>
        <family val="0"/>
        <charset val="1"/>
      </rPr>
      <t xml:space="preserve">7</t>
    </r>
    <r>
      <rPr>
        <i val="true"/>
        <sz val="10"/>
        <color rgb="FF595959"/>
        <rFont val="WenQuanYi Zen Hei"/>
        <family val="2"/>
      </rPr>
      <t xml:space="preserve">年</t>
    </r>
    <r>
      <rPr>
        <i val="true"/>
        <sz val="10"/>
        <color rgb="FF595959"/>
        <rFont val="Arial"/>
        <family val="0"/>
        <charset val="1"/>
      </rPr>
      <t xml:space="preserve">10</t>
    </r>
    <r>
      <rPr>
        <i val="true"/>
        <sz val="10"/>
        <color rgb="FF595959"/>
        <rFont val="WenQuanYi Zen Hei"/>
        <family val="2"/>
      </rPr>
      <t xml:space="preserve">月〜令和</t>
    </r>
    <r>
      <rPr>
        <i val="true"/>
        <sz val="10"/>
        <color rgb="FF595959"/>
        <rFont val="Arial"/>
        <family val="0"/>
        <charset val="1"/>
      </rPr>
      <t xml:space="preserve">8</t>
    </r>
    <r>
      <rPr>
        <i val="true"/>
        <sz val="10"/>
        <color rgb="FF595959"/>
        <rFont val="WenQuanYi Zen Hei"/>
        <family val="2"/>
      </rPr>
      <t xml:space="preserve">年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月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の月次実績を来期の同月に当てはめています。保険料のみ、切替</t>
    </r>
    <r>
      <rPr>
        <i val="true"/>
        <sz val="10"/>
        <color rgb="FF595959"/>
        <rFont val="Arial"/>
        <family val="0"/>
        <charset val="1"/>
      </rPr>
      <t xml:space="preserve">(B9)</t>
    </r>
    <r>
      <rPr>
        <i val="true"/>
        <sz val="10"/>
        <color rgb="FF595959"/>
        <rFont val="WenQuanYi Zen Hei"/>
        <family val="2"/>
      </rPr>
      <t xml:space="preserve">に応じて保険一覧の現金支払スケジュールを使用。</t>
    </r>
  </si>
  <si>
    <t xml:space="preserve">項目</t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</si>
  <si>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</si>
  <si>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</si>
  <si>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</si>
  <si>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</si>
  <si>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</si>
  <si>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</si>
  <si>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</si>
  <si>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</si>
  <si>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</si>
  <si>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</si>
  <si>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</si>
  <si>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月</t>
    </r>
  </si>
  <si>
    <t xml:space="preserve">年間計</t>
  </si>
  <si>
    <t xml:space="preserve">役員報酬</t>
  </si>
  <si>
    <t xml:space="preserve">給与・賞与・福利厚生</t>
  </si>
  <si>
    <t xml:space="preserve">保険料</t>
  </si>
  <si>
    <t xml:space="preserve">租税公課</t>
  </si>
  <si>
    <t xml:space="preserve">水道光熱・通信交通</t>
  </si>
  <si>
    <t xml:space="preserve">接待交際・諸会費</t>
  </si>
  <si>
    <t xml:space="preserve">修繕・消耗品</t>
  </si>
  <si>
    <t xml:space="preserve">管理諸費・雑費・その他</t>
  </si>
  <si>
    <t xml:space="preserve">経費計</t>
  </si>
  <si>
    <r>
      <rPr>
        <i val="true"/>
        <sz val="10"/>
        <color rgb="FF595959"/>
        <rFont val="WenQuanYi Zen Hei"/>
        <family val="2"/>
      </rPr>
      <t xml:space="preserve">租税公課は</t>
    </r>
    <r>
      <rPr>
        <i val="true"/>
        <sz val="10"/>
        <color rgb="FF595959"/>
        <rFont val="Arial"/>
        <family val="0"/>
        <charset val="1"/>
      </rPr>
      <t xml:space="preserve">4</t>
    </r>
    <r>
      <rPr>
        <i val="true"/>
        <sz val="10"/>
        <color rgb="FF595959"/>
        <rFont val="WenQuanYi Zen Hei"/>
        <family val="2"/>
      </rPr>
      <t xml:space="preserve">〜</t>
    </r>
    <r>
      <rPr>
        <i val="true"/>
        <sz val="10"/>
        <color rgb="FF595959"/>
        <rFont val="Arial"/>
        <family val="0"/>
        <charset val="1"/>
      </rPr>
      <t xml:space="preserve">5</t>
    </r>
    <r>
      <rPr>
        <i val="true"/>
        <sz val="10"/>
        <color rgb="FF595959"/>
        <rFont val="WenQuanYi Zen Hei"/>
        <family val="2"/>
      </rPr>
      <t xml:space="preserve">月に集中する実績パターン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固定資産税等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。実際の納期は納付書でご確認ください。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月の数字には決算整理が含まれます。</t>
    </r>
  </si>
  <si>
    <r>
      <rPr>
        <b val="true"/>
        <sz val="13"/>
        <color rgb="FF000000"/>
        <rFont val="WenQuanYi Zen Hei"/>
        <family val="2"/>
      </rPr>
      <t xml:space="preserve">資金繰り表</t>
    </r>
    <r>
      <rPr>
        <b val="true"/>
        <sz val="13"/>
        <color rgb="FF000000"/>
        <rFont val="Arial"/>
        <family val="0"/>
        <charset val="1"/>
      </rPr>
      <t xml:space="preserve">(</t>
    </r>
    <r>
      <rPr>
        <b val="true"/>
        <sz val="13"/>
        <color rgb="FF000000"/>
        <rFont val="WenQuanYi Zen Hei"/>
        <family val="2"/>
      </rPr>
      <t xml:space="preserve">来期</t>
    </r>
    <r>
      <rPr>
        <b val="true"/>
        <sz val="13"/>
        <color rgb="FF000000"/>
        <rFont val="Arial"/>
        <family val="0"/>
        <charset val="1"/>
      </rPr>
      <t xml:space="preserve">: </t>
    </r>
    <r>
      <rPr>
        <b val="true"/>
        <sz val="13"/>
        <color rgb="FF000000"/>
        <rFont val="WenQuanYi Zen Hei"/>
        <family val="2"/>
      </rPr>
      <t xml:space="preserve">令和</t>
    </r>
    <r>
      <rPr>
        <b val="true"/>
        <sz val="13"/>
        <color rgb="FF000000"/>
        <rFont val="Arial"/>
        <family val="0"/>
        <charset val="1"/>
      </rPr>
      <t xml:space="preserve">8</t>
    </r>
    <r>
      <rPr>
        <b val="true"/>
        <sz val="13"/>
        <color rgb="FF000000"/>
        <rFont val="WenQuanYi Zen Hei"/>
        <family val="2"/>
      </rPr>
      <t xml:space="preserve">年</t>
    </r>
    <r>
      <rPr>
        <b val="true"/>
        <sz val="13"/>
        <color rgb="FF000000"/>
        <rFont val="Arial"/>
        <family val="0"/>
        <charset val="1"/>
      </rPr>
      <t xml:space="preserve">10</t>
    </r>
    <r>
      <rPr>
        <b val="true"/>
        <sz val="13"/>
        <color rgb="FF000000"/>
        <rFont val="WenQuanYi Zen Hei"/>
        <family val="2"/>
      </rPr>
      <t xml:space="preserve">月〜令和</t>
    </r>
    <r>
      <rPr>
        <b val="true"/>
        <sz val="13"/>
        <color rgb="FF000000"/>
        <rFont val="Arial"/>
        <family val="0"/>
        <charset val="1"/>
      </rPr>
      <t xml:space="preserve">9</t>
    </r>
    <r>
      <rPr>
        <b val="true"/>
        <sz val="13"/>
        <color rgb="FF000000"/>
        <rFont val="WenQuanYi Zen Hei"/>
        <family val="2"/>
      </rPr>
      <t xml:space="preserve">年</t>
    </r>
    <r>
      <rPr>
        <b val="true"/>
        <sz val="13"/>
        <color rgb="FF000000"/>
        <rFont val="Arial"/>
        <family val="0"/>
        <charset val="1"/>
      </rPr>
      <t xml:space="preserve">9</t>
    </r>
    <r>
      <rPr>
        <b val="true"/>
        <sz val="13"/>
        <color rgb="FF000000"/>
        <rFont val="WenQuanYi Zen Hei"/>
        <family val="2"/>
      </rPr>
      <t xml:space="preserve">月・月次</t>
    </r>
    <r>
      <rPr>
        <b val="true"/>
        <sz val="13"/>
        <color rgb="FF000000"/>
        <rFont val="Arial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</si>
  <si>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単位</t>
    </r>
    <r>
      <rPr>
        <i val="true"/>
        <sz val="10"/>
        <color rgb="FF595959"/>
        <rFont val="Arial"/>
        <family val="0"/>
        <charset val="1"/>
      </rPr>
      <t xml:space="preserve">:</t>
    </r>
    <r>
      <rPr>
        <i val="true"/>
        <sz val="10"/>
        <color rgb="FF595959"/>
        <rFont val="WenQuanYi Zen Hei"/>
        <family val="2"/>
      </rPr>
      <t xml:space="preserve">千円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内部は円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。青字・黄色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手入力欄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土地売却・貸付金回収など臨時項目、初期値</t>
    </r>
    <r>
      <rPr>
        <i val="true"/>
        <sz val="10"/>
        <color rgb="FF595959"/>
        <rFont val="Arial"/>
        <family val="0"/>
        <charset val="1"/>
      </rPr>
      <t xml:space="preserve">0)</t>
    </r>
    <r>
      <rPr>
        <i val="true"/>
        <sz val="10"/>
        <color rgb="FF595959"/>
        <rFont val="WenQuanYi Zen Hei"/>
        <family val="2"/>
      </rPr>
      <t xml:space="preserve">。経費は支出ベースで減価償却費を除外。</t>
    </r>
  </si>
  <si>
    <t xml:space="preserve">来期計</t>
  </si>
  <si>
    <t xml:space="preserve">決算期</t>
  </si>
  <si>
    <r>
      <rPr>
        <b val="true"/>
        <sz val="10"/>
        <color rgb="FF000000"/>
        <rFont val="WenQuanYi Zen Hei"/>
        <family val="2"/>
      </rPr>
      <t xml:space="preserve">前月繰越現預金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社債なし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</si>
  <si>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【収入】</t>
  </si>
  <si>
    <r>
      <rPr>
        <sz val="10"/>
        <color rgb="FF000000"/>
        <rFont val="WenQuanYi Zen Hei"/>
        <family val="2"/>
      </rPr>
      <t xml:space="preserve">賃貸収入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最新の家賃明細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</si>
  <si>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その他売上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手数料等・手入力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</si>
  <si>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土地・商品の売却収入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手入力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</si>
  <si>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貸付金・未収入金の回収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手入力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</si>
  <si>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その他臨時収入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手入力</t>
    </r>
    <r>
      <rPr>
        <sz val="10"/>
        <color rgb="FF000000"/>
        <rFont val="Arial"/>
        <family val="0"/>
        <charset val="1"/>
      </rPr>
      <t xml:space="preserve">)</t>
    </r>
  </si>
  <si>
    <t xml:space="preserve">収入計</t>
  </si>
  <si>
    <t xml:space="preserve">【支出】</t>
  </si>
  <si>
    <r>
      <rPr>
        <sz val="10"/>
        <color rgb="FF000000"/>
        <rFont val="WenQuanYi Zen Hei"/>
        <family val="2"/>
      </rPr>
      <t xml:space="preserve">消費税納付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月期分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</si>
  <si>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長期未払金の支払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手入力・</t>
    </r>
    <r>
      <rPr>
        <sz val="10"/>
        <color rgb="FF000000"/>
        <rFont val="Arial"/>
        <family val="0"/>
        <charset val="1"/>
      </rPr>
      <t xml:space="preserve">4,691</t>
    </r>
    <r>
      <rPr>
        <sz val="10"/>
        <color rgb="FF000000"/>
        <rFont val="WenQuanYi Zen Hei"/>
        <family val="2"/>
      </rPr>
      <t xml:space="preserve">万円の期日未確認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</si>
  <si>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その他臨時支出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手入力</t>
    </r>
    <r>
      <rPr>
        <sz val="10"/>
        <color rgb="FF000000"/>
        <rFont val="Arial"/>
        <family val="0"/>
        <charset val="1"/>
      </rPr>
      <t xml:space="preserve">)</t>
    </r>
  </si>
  <si>
    <t xml:space="preserve">支出計</t>
  </si>
  <si>
    <r>
      <rPr>
        <b val="true"/>
        <sz val="10"/>
        <color rgb="FF000000"/>
        <rFont val="WenQuanYi Zen Hei"/>
        <family val="2"/>
      </rPr>
      <t xml:space="preserve">収支差額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社債なし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</si>
  <si>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翌月繰越現預金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社債なし</t>
    </r>
    <r>
      <rPr>
        <b val="true"/>
        <sz val="10"/>
        <color rgb="FF000000"/>
        <rFont val="Arial"/>
        <family val="0"/>
        <charset val="1"/>
      </rPr>
      <t xml:space="preserve">) ①</t>
    </r>
  </si>
  <si>
    <r>
      <rPr>
        <b val="true"/>
        <sz val="10"/>
        <color rgb="FF000000"/>
        <rFont val="WenQuanYi Zen Hei"/>
        <family val="2"/>
      </rPr>
      <t xml:space="preserve">【社債</t>
    </r>
    <r>
      <rPr>
        <b val="true"/>
        <sz val="10"/>
        <color rgb="FF000000"/>
        <rFont val="Arial"/>
        <family val="0"/>
        <charset val="1"/>
      </rPr>
      <t xml:space="preserve">(25</t>
    </r>
    <r>
      <rPr>
        <b val="true"/>
        <sz val="10"/>
        <color rgb="FF000000"/>
        <rFont val="WenQuanYi Zen Hei"/>
        <family val="2"/>
      </rPr>
      <t xml:space="preserve">万</t>
    </r>
    <r>
      <rPr>
        <b val="true"/>
        <sz val="10"/>
        <color rgb="FF000000"/>
        <rFont val="Arial"/>
        <family val="0"/>
        <charset val="1"/>
      </rPr>
      <t xml:space="preserve">USD</t>
    </r>
    <r>
      <rPr>
        <b val="true"/>
        <sz val="10"/>
        <color rgb="FF000000"/>
        <rFont val="WenQuanYi Zen Hei"/>
        <family val="2"/>
      </rPr>
      <t xml:space="preserve">・</t>
    </r>
    <r>
      <rPr>
        <b val="true"/>
        <sz val="10"/>
        <color rgb="FF000000"/>
        <rFont val="Arial"/>
        <family val="0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年</t>
    </r>
    <r>
      <rPr>
        <b val="true"/>
        <sz val="10"/>
        <color rgb="FF000000"/>
        <rFont val="Arial"/>
        <family val="0"/>
        <charset val="1"/>
      </rPr>
      <t xml:space="preserve">)</t>
    </r>
    <r>
      <rPr>
        <b val="true"/>
        <sz val="10"/>
        <color rgb="FF000000"/>
        <rFont val="WenQuanYi Zen Hei"/>
        <family val="2"/>
      </rPr>
      <t xml:space="preserve">を購入した場合の追加キャッシュフロー】</t>
    </r>
  </si>
  <si>
    <t xml:space="preserve">社債購入代金</t>
  </si>
  <si>
    <r>
      <rPr>
        <sz val="10"/>
        <color rgb="FF000000"/>
        <rFont val="WenQuanYi Zen Hei"/>
        <family val="2"/>
      </rPr>
      <t xml:space="preserve">社債利息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源泉税引後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</si>
  <si>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社債償還金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WenQuanYi Zen Hei"/>
        <family val="2"/>
      </rPr>
      <t xml:space="preserve">月のため対象期間外</t>
    </r>
    <r>
      <rPr>
        <sz val="10"/>
        <color rgb="FF000000"/>
        <rFont val="Arial"/>
        <family val="0"/>
        <charset val="1"/>
      </rPr>
      <t xml:space="preserve">)</t>
    </r>
  </si>
  <si>
    <t xml:space="preserve">社債によるキャッシュ増減</t>
  </si>
  <si>
    <t xml:space="preserve">社債の累計キャッシュ増減</t>
  </si>
  <si>
    <r>
      <rPr>
        <b val="true"/>
        <sz val="10"/>
        <color rgb="FF000000"/>
        <rFont val="WenQuanYi Zen Hei"/>
        <family val="2"/>
      </rPr>
      <t xml:space="preserve">翌月繰越現預金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社債あり</t>
    </r>
    <r>
      <rPr>
        <b val="true"/>
        <sz val="10"/>
        <color rgb="FF000000"/>
        <rFont val="Arial"/>
        <family val="0"/>
        <charset val="1"/>
      </rPr>
      <t xml:space="preserve">) ②</t>
    </r>
  </si>
  <si>
    <r>
      <rPr>
        <sz val="10"/>
        <color rgb="FF000000"/>
        <rFont val="WenQuanYi Zen Hei"/>
        <family val="2"/>
      </rPr>
      <t xml:space="preserve">差額</t>
    </r>
    <r>
      <rPr>
        <sz val="10"/>
        <color rgb="FF000000"/>
        <rFont val="Arial"/>
        <family val="0"/>
        <charset val="1"/>
      </rPr>
      <t xml:space="preserve">(②−①)</t>
    </r>
  </si>
  <si>
    <r>
      <rPr>
        <i val="true"/>
        <sz val="10"/>
        <color rgb="FF595959"/>
        <rFont val="WenQuanYi Zen Hei"/>
        <family val="2"/>
      </rPr>
      <t xml:space="preserve">※社債は購入月に代金を全額支出、利息は源泉税</t>
    </r>
    <r>
      <rPr>
        <i val="true"/>
        <sz val="10"/>
        <color rgb="FF595959"/>
        <rFont val="Arial"/>
        <family val="0"/>
        <charset val="1"/>
      </rPr>
      <t xml:space="preserve">15.315%</t>
    </r>
    <r>
      <rPr>
        <i val="true"/>
        <sz val="10"/>
        <color rgb="FF595959"/>
        <rFont val="WenQuanYi Zen Hei"/>
        <family val="2"/>
      </rPr>
      <t xml:space="preserve">控除後で入金する前提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来期は</t>
    </r>
    <r>
      <rPr>
        <i val="true"/>
        <sz val="10"/>
        <color rgb="FF595959"/>
        <rFont val="Arial"/>
        <family val="0"/>
        <charset val="1"/>
      </rPr>
      <t xml:space="preserve">5</t>
    </r>
    <r>
      <rPr>
        <i val="true"/>
        <sz val="10"/>
        <color rgb="FF595959"/>
        <rFont val="WenQuanYi Zen Hei"/>
        <family val="2"/>
      </rPr>
      <t xml:space="preserve">月の</t>
    </r>
    <r>
      <rPr>
        <i val="true"/>
        <sz val="10"/>
        <color rgb="FF595959"/>
        <rFont val="Arial"/>
        <family val="0"/>
        <charset val="1"/>
      </rPr>
      <t xml:space="preserve">1</t>
    </r>
    <r>
      <rPr>
        <i val="true"/>
        <sz val="10"/>
        <color rgb="FF595959"/>
        <rFont val="WenQuanYi Zen Hei"/>
        <family val="2"/>
      </rPr>
      <t xml:space="preserve">回分のみ。</t>
    </r>
    <r>
      <rPr>
        <i val="true"/>
        <sz val="10"/>
        <color rgb="FF595959"/>
        <rFont val="Arial"/>
        <family val="0"/>
        <charset val="1"/>
      </rPr>
      <t xml:space="preserve">11</t>
    </r>
    <r>
      <rPr>
        <i val="true"/>
        <sz val="10"/>
        <color rgb="FF595959"/>
        <rFont val="WenQuanYi Zen Hei"/>
        <family val="2"/>
      </rPr>
      <t xml:space="preserve">月分は来々期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。源泉税は欠損のため法人税申告で還付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決算後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となり、この表には含めていません。</t>
    </r>
  </si>
  <si>
    <r>
      <rPr>
        <i val="true"/>
        <sz val="10"/>
        <color rgb="FF595959"/>
        <rFont val="WenQuanYi Zen Hei"/>
        <family val="2"/>
      </rPr>
      <t xml:space="preserve">※経費は令和</t>
    </r>
    <r>
      <rPr>
        <i val="true"/>
        <sz val="10"/>
        <color rgb="FF595959"/>
        <rFont val="Arial"/>
        <family val="0"/>
        <charset val="1"/>
      </rPr>
      <t xml:space="preserve">8</t>
    </r>
    <r>
      <rPr>
        <i val="true"/>
        <sz val="10"/>
        <color rgb="FF595959"/>
        <rFont val="WenQuanYi Zen Hei"/>
        <family val="2"/>
      </rPr>
      <t xml:space="preserve">年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月期の月次実績を同月に当てはめ、保険料は保険一覧の現金支払で置換。土地売却・貸付金回収は黄色欄に入力すると反映されます。</t>
    </r>
  </si>
  <si>
    <r>
      <rPr>
        <b val="true"/>
        <sz val="13"/>
        <color rgb="FF000000"/>
        <rFont val="WenQuanYi Zen Hei"/>
        <family val="2"/>
      </rPr>
      <t xml:space="preserve">経費の内訳</t>
    </r>
    <r>
      <rPr>
        <b val="true"/>
        <sz val="13"/>
        <color rgb="FF000000"/>
        <rFont val="Arial"/>
        <family val="0"/>
        <charset val="1"/>
      </rPr>
      <t xml:space="preserve">(</t>
    </r>
    <r>
      <rPr>
        <b val="true"/>
        <sz val="13"/>
        <color rgb="FF000000"/>
        <rFont val="WenQuanYi Zen Hei"/>
        <family val="2"/>
      </rPr>
      <t xml:space="preserve">令和</t>
    </r>
    <r>
      <rPr>
        <b val="true"/>
        <sz val="13"/>
        <color rgb="FF000000"/>
        <rFont val="Arial"/>
        <family val="0"/>
        <charset val="1"/>
      </rPr>
      <t xml:space="preserve">8</t>
    </r>
    <r>
      <rPr>
        <b val="true"/>
        <sz val="13"/>
        <color rgb="FF000000"/>
        <rFont val="WenQuanYi Zen Hei"/>
        <family val="2"/>
      </rPr>
      <t xml:space="preserve">年</t>
    </r>
    <r>
      <rPr>
        <b val="true"/>
        <sz val="13"/>
        <color rgb="FF000000"/>
        <rFont val="Arial"/>
        <family val="0"/>
        <charset val="1"/>
      </rPr>
      <t xml:space="preserve">9</t>
    </r>
    <r>
      <rPr>
        <b val="true"/>
        <sz val="13"/>
        <color rgb="FF000000"/>
        <rFont val="WenQuanYi Zen Hei"/>
        <family val="2"/>
      </rPr>
      <t xml:space="preserve">月期実績と過去</t>
    </r>
    <r>
      <rPr>
        <b val="true"/>
        <sz val="13"/>
        <color rgb="FF000000"/>
        <rFont val="Arial"/>
        <family val="0"/>
        <charset val="1"/>
      </rPr>
      <t xml:space="preserve">2</t>
    </r>
    <r>
      <rPr>
        <b val="true"/>
        <sz val="13"/>
        <color rgb="FF000000"/>
        <rFont val="WenQuanYi Zen Hei"/>
        <family val="2"/>
      </rPr>
      <t xml:space="preserve">期の比較</t>
    </r>
    <r>
      <rPr>
        <b val="true"/>
        <sz val="13"/>
        <color rgb="FF000000"/>
        <rFont val="Arial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</si>
  <si>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出典</t>
    </r>
    <r>
      <rPr>
        <i val="true"/>
        <sz val="10"/>
        <color rgb="FF595959"/>
        <rFont val="Arial"/>
        <family val="0"/>
        <charset val="1"/>
      </rPr>
      <t xml:space="preserve">: </t>
    </r>
    <r>
      <rPr>
        <i val="true"/>
        <sz val="10"/>
        <color rgb="FF595959"/>
        <rFont val="WenQuanYi Zen Hei"/>
        <family val="2"/>
      </rPr>
      <t xml:space="preserve">残高推移表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各期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月末の累計</t>
    </r>
    <r>
      <rPr>
        <i val="true"/>
        <sz val="10"/>
        <color rgb="FF595959"/>
        <rFont val="Arial"/>
        <family val="0"/>
        <charset val="1"/>
      </rPr>
      <t xml:space="preserve">=10</t>
    </r>
    <r>
      <rPr>
        <i val="true"/>
        <sz val="10"/>
        <color rgb="FF595959"/>
        <rFont val="WenQuanYi Zen Hei"/>
        <family val="2"/>
      </rPr>
      <t xml:space="preserve">月〜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月の</t>
    </r>
    <r>
      <rPr>
        <i val="true"/>
        <sz val="10"/>
        <color rgb="FF595959"/>
        <rFont val="Arial"/>
        <family val="0"/>
        <charset val="1"/>
      </rPr>
      <t xml:space="preserve">1</t>
    </r>
    <r>
      <rPr>
        <i val="true"/>
        <sz val="10"/>
        <color rgb="FF595959"/>
        <rFont val="WenQuanYi Zen Hei"/>
        <family val="2"/>
      </rPr>
      <t xml:space="preserve">年間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。金額は円。令和</t>
    </r>
    <r>
      <rPr>
        <i val="true"/>
        <sz val="10"/>
        <color rgb="FF595959"/>
        <rFont val="Arial"/>
        <family val="0"/>
        <charset val="1"/>
      </rPr>
      <t xml:space="preserve">8</t>
    </r>
    <r>
      <rPr>
        <i val="true"/>
        <sz val="10"/>
        <color rgb="FF595959"/>
        <rFont val="WenQuanYi Zen Hei"/>
        <family val="2"/>
      </rPr>
      <t xml:space="preserve">年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月期は実績シートから参照。</t>
    </r>
  </si>
  <si>
    <t xml:space="preserve">科目</t>
  </si>
  <si>
    <r>
      <rPr>
        <b val="true"/>
        <sz val="10"/>
        <color rgb="FFFFFFFF"/>
        <rFont val="WenQuanYi Zen Hei"/>
        <family val="2"/>
      </rPr>
      <t xml:space="preserve">令和</t>
    </r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年</t>
    </r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月期</t>
    </r>
  </si>
  <si>
    <r>
      <rPr>
        <b val="true"/>
        <sz val="10"/>
        <color rgb="FFFFFFFF"/>
        <rFont val="WenQuanYi Zen Hei"/>
        <family val="2"/>
      </rPr>
      <t xml:space="preserve">令和</t>
    </r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年</t>
    </r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月期</t>
    </r>
  </si>
  <si>
    <r>
      <rPr>
        <b val="true"/>
        <sz val="10"/>
        <color rgb="FFFFFFFF"/>
        <rFont val="WenQuanYi Zen Hei"/>
        <family val="2"/>
      </rPr>
      <t xml:space="preserve">令和</t>
    </r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年</t>
    </r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月期</t>
    </r>
  </si>
  <si>
    <r>
      <rPr>
        <b val="true"/>
        <sz val="10"/>
        <color rgb="FFFFFFFF"/>
        <rFont val="WenQuanYi Zen Hei"/>
        <family val="2"/>
      </rPr>
      <t xml:space="preserve">前期比</t>
    </r>
    <r>
      <rPr>
        <b val="true"/>
        <sz val="10"/>
        <color rgb="FFFFFFFF"/>
        <rFont val="Arial"/>
        <family val="0"/>
        <charset val="1"/>
      </rPr>
      <t xml:space="preserve">(R8−R7)</t>
    </r>
  </si>
  <si>
    <t xml:space="preserve">前期比率</t>
  </si>
  <si>
    <r>
      <rPr>
        <b val="true"/>
        <sz val="10"/>
        <color rgb="FFFFFFFF"/>
        <rFont val="WenQuanYi Zen Hei"/>
        <family val="2"/>
      </rPr>
      <t xml:space="preserve">構成比</t>
    </r>
    <r>
      <rPr>
        <b val="true"/>
        <sz val="10"/>
        <color rgb="FFFFFFFF"/>
        <rFont val="Arial"/>
        <family val="0"/>
        <charset val="1"/>
      </rPr>
      <t xml:space="preserve">(R8</t>
    </r>
    <r>
      <rPr>
        <b val="true"/>
        <sz val="10"/>
        <color rgb="FFFFFFFF"/>
        <rFont val="WenQuanYi Zen Hei"/>
        <family val="2"/>
      </rPr>
      <t xml:space="preserve">・減価償却除く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</si>
  <si>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コメント</t>
  </si>
  <si>
    <r>
      <rPr>
        <sz val="10"/>
        <color rgb="FF595959"/>
        <rFont val="WenQuanYi Zen Hei"/>
        <family val="2"/>
      </rPr>
      <t xml:space="preserve">最大の経費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約</t>
    </r>
    <r>
      <rPr>
        <sz val="10"/>
        <color rgb="FF595959"/>
        <rFont val="Arial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割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WenQuanYi Zen Hei"/>
        <family val="2"/>
      </rPr>
      <t xml:space="preserve">。損金計上額ベース。現金の支払は旭土地の保険一覧で年間約</t>
    </r>
    <r>
      <rPr>
        <sz val="10"/>
        <color rgb="FF595959"/>
        <rFont val="Arial"/>
        <family val="0"/>
        <charset val="1"/>
      </rPr>
      <t xml:space="preserve">3,367</t>
    </r>
    <r>
      <rPr>
        <sz val="10"/>
        <color rgb="FF595959"/>
        <rFont val="WenQuanYi Zen Hei"/>
        <family val="2"/>
      </rPr>
      <t xml:space="preserve">万円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損金にならない約</t>
    </r>
    <r>
      <rPr>
        <sz val="10"/>
        <color rgb="FF595959"/>
        <rFont val="Arial"/>
        <family val="0"/>
        <charset val="1"/>
      </rPr>
      <t xml:space="preserve">1,298</t>
    </r>
    <r>
      <rPr>
        <sz val="10"/>
        <color rgb="FF595959"/>
        <rFont val="WenQuanYi Zen Hei"/>
        <family val="2"/>
      </rPr>
      <t xml:space="preserve">万円は前払費用に計上され、令和</t>
    </r>
    <r>
      <rPr>
        <sz val="10"/>
        <color rgb="FF595959"/>
        <rFont val="Arial"/>
        <family val="0"/>
        <charset val="1"/>
      </rPr>
      <t xml:space="preserve">8</t>
    </r>
    <r>
      <rPr>
        <sz val="10"/>
        <color rgb="FF595959"/>
        <rFont val="WenQuanYi Zen Hei"/>
        <family val="2"/>
      </rPr>
      <t xml:space="preserve">年</t>
    </r>
    <r>
      <rPr>
        <sz val="10"/>
        <color rgb="FF595959"/>
        <rFont val="Arial"/>
        <family val="0"/>
        <charset val="1"/>
      </rPr>
      <t xml:space="preserve">9</t>
    </r>
    <r>
      <rPr>
        <sz val="10"/>
        <color rgb="FF595959"/>
        <rFont val="WenQuanYi Zen Hei"/>
        <family val="2"/>
      </rPr>
      <t xml:space="preserve">月期に前払費用が約</t>
    </r>
    <r>
      <rPr>
        <sz val="10"/>
        <color rgb="FF595959"/>
        <rFont val="Arial"/>
        <family val="0"/>
        <charset val="1"/>
      </rPr>
      <t xml:space="preserve">840</t>
    </r>
    <r>
      <rPr>
        <sz val="10"/>
        <color rgb="FF595959"/>
        <rFont val="WenQuanYi Zen Hei"/>
        <family val="2"/>
      </rPr>
      <t xml:space="preserve">万円増加</t>
    </r>
    <r>
      <rPr>
        <sz val="10"/>
        <color rgb="FF595959"/>
        <rFont val="Arial"/>
        <family val="0"/>
        <charset val="1"/>
      </rPr>
      <t xml:space="preserve">)</t>
    </r>
  </si>
  <si>
    <r>
      <rPr>
        <sz val="10"/>
        <color rgb="FF595959"/>
        <rFont val="WenQuanYi Zen Hei"/>
        <family val="2"/>
      </rPr>
      <t xml:space="preserve">月</t>
    </r>
    <r>
      <rPr>
        <sz val="10"/>
        <color rgb="FF595959"/>
        <rFont val="Arial"/>
        <family val="0"/>
        <charset val="1"/>
      </rPr>
      <t xml:space="preserve">90</t>
    </r>
    <r>
      <rPr>
        <sz val="10"/>
        <color rgb="FF595959"/>
        <rFont val="WenQuanYi Zen Hei"/>
        <family val="2"/>
      </rPr>
      <t xml:space="preserve">万円</t>
    </r>
    <r>
      <rPr>
        <sz val="10"/>
        <color rgb="FF595959"/>
        <rFont val="Arial"/>
        <family val="0"/>
        <charset val="1"/>
      </rPr>
      <t xml:space="preserve">+</t>
    </r>
    <r>
      <rPr>
        <sz val="10"/>
        <color rgb="FF595959"/>
        <rFont val="WenQuanYi Zen Hei"/>
        <family val="2"/>
      </rPr>
      <t xml:space="preserve">決算月</t>
    </r>
    <r>
      <rPr>
        <sz val="10"/>
        <color rgb="FF595959"/>
        <rFont val="Arial"/>
        <family val="0"/>
        <charset val="1"/>
      </rPr>
      <t xml:space="preserve">(9</t>
    </r>
    <r>
      <rPr>
        <sz val="10"/>
        <color rgb="FF595959"/>
        <rFont val="WenQuanYi Zen Hei"/>
        <family val="2"/>
      </rPr>
      <t xml:space="preserve">月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WenQuanYi Zen Hei"/>
        <family val="2"/>
      </rPr>
      <t xml:space="preserve">に</t>
    </r>
    <r>
      <rPr>
        <sz val="10"/>
        <color rgb="FF595959"/>
        <rFont val="Arial"/>
        <family val="0"/>
        <charset val="1"/>
      </rPr>
      <t xml:space="preserve">150</t>
    </r>
    <r>
      <rPr>
        <sz val="10"/>
        <color rgb="FF595959"/>
        <rFont val="WenQuanYi Zen Hei"/>
        <family val="2"/>
      </rPr>
      <t xml:space="preserve">万円の上乗せ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前期同額</t>
    </r>
    <r>
      <rPr>
        <sz val="10"/>
        <color rgb="FF595959"/>
        <rFont val="Arial"/>
        <family val="0"/>
        <charset val="1"/>
      </rPr>
      <t xml:space="preserve">)</t>
    </r>
  </si>
  <si>
    <t xml:space="preserve">接待交際費</t>
  </si>
  <si>
    <r>
      <rPr>
        <sz val="10"/>
        <color rgb="FF595959"/>
        <rFont val="WenQuanYi Zen Hei"/>
        <family val="2"/>
      </rPr>
      <t xml:space="preserve">前期比</t>
    </r>
    <r>
      <rPr>
        <sz val="10"/>
        <color rgb="FF595959"/>
        <rFont val="Arial"/>
        <family val="0"/>
        <charset val="1"/>
      </rPr>
      <t xml:space="preserve">+86</t>
    </r>
    <r>
      <rPr>
        <sz val="10"/>
        <color rgb="FF595959"/>
        <rFont val="WenQuanYi Zen Hei"/>
        <family val="2"/>
      </rPr>
      <t xml:space="preserve">万円</t>
    </r>
  </si>
  <si>
    <r>
      <rPr>
        <sz val="10"/>
        <color rgb="FF595959"/>
        <rFont val="Arial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〜</t>
    </r>
    <r>
      <rPr>
        <sz val="10"/>
        <color rgb="FF595959"/>
        <rFont val="Arial"/>
        <family val="0"/>
        <charset val="1"/>
      </rPr>
      <t xml:space="preserve">5</t>
    </r>
    <r>
      <rPr>
        <sz val="10"/>
        <color rgb="FF595959"/>
        <rFont val="WenQuanYi Zen Hei"/>
        <family val="2"/>
      </rPr>
      <t xml:space="preserve">月に集中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固定資産税等</t>
    </r>
    <r>
      <rPr>
        <sz val="10"/>
        <color rgb="FF595959"/>
        <rFont val="Arial"/>
        <family val="0"/>
        <charset val="1"/>
      </rPr>
      <t xml:space="preserve">)</t>
    </r>
  </si>
  <si>
    <t xml:space="preserve">事務員給与</t>
  </si>
  <si>
    <r>
      <rPr>
        <sz val="10"/>
        <color rgb="FF595959"/>
        <rFont val="WenQuanYi Zen Hei"/>
        <family val="2"/>
      </rPr>
      <t xml:space="preserve">前期は</t>
    </r>
    <r>
      <rPr>
        <sz val="10"/>
        <color rgb="FF595959"/>
        <rFont val="Arial"/>
        <family val="0"/>
        <charset val="1"/>
      </rPr>
      <t xml:space="preserve">5</t>
    </r>
    <r>
      <rPr>
        <sz val="10"/>
        <color rgb="FF595959"/>
        <rFont val="WenQuanYi Zen Hei"/>
        <family val="2"/>
      </rPr>
      <t xml:space="preserve">〜</t>
    </r>
    <r>
      <rPr>
        <sz val="10"/>
        <color rgb="FF595959"/>
        <rFont val="Arial"/>
        <family val="0"/>
        <charset val="1"/>
      </rPr>
      <t xml:space="preserve">6</t>
    </r>
    <r>
      <rPr>
        <sz val="10"/>
        <color rgb="FF595959"/>
        <rFont val="WenQuanYi Zen Hei"/>
        <family val="2"/>
      </rPr>
      <t xml:space="preserve">月に臨時の増加があり今期は減少</t>
    </r>
  </si>
  <si>
    <t xml:space="preserve">厚生費</t>
  </si>
  <si>
    <r>
      <rPr>
        <sz val="10"/>
        <color rgb="FF595959"/>
        <rFont val="WenQuanYi Zen Hei"/>
        <family val="2"/>
      </rPr>
      <t xml:space="preserve">前期比</t>
    </r>
    <r>
      <rPr>
        <sz val="10"/>
        <color rgb="FF595959"/>
        <rFont val="Arial"/>
        <family val="0"/>
        <charset val="1"/>
      </rPr>
      <t xml:space="preserve">+100</t>
    </r>
    <r>
      <rPr>
        <sz val="10"/>
        <color rgb="FF595959"/>
        <rFont val="WenQuanYi Zen Hei"/>
        <family val="2"/>
      </rPr>
      <t xml:space="preserve">万円</t>
    </r>
    <r>
      <rPr>
        <sz val="10"/>
        <color rgb="FF595959"/>
        <rFont val="Arial"/>
        <family val="0"/>
        <charset val="1"/>
      </rPr>
      <t xml:space="preserve">(+26%)</t>
    </r>
  </si>
  <si>
    <t xml:space="preserve">通信交通費</t>
  </si>
  <si>
    <t xml:space="preserve">水道光熱費</t>
  </si>
  <si>
    <t xml:space="preserve">諸会費</t>
  </si>
  <si>
    <t xml:space="preserve">法定福利費</t>
  </si>
  <si>
    <t xml:space="preserve">管理諸費</t>
  </si>
  <si>
    <r>
      <rPr>
        <sz val="10"/>
        <color rgb="FF595959"/>
        <rFont val="WenQuanYi Zen Hei"/>
        <family val="2"/>
      </rPr>
      <t xml:space="preserve">前期</t>
    </r>
    <r>
      <rPr>
        <sz val="10"/>
        <color rgb="FF595959"/>
        <rFont val="Arial"/>
        <family val="0"/>
        <charset val="1"/>
      </rPr>
      <t xml:space="preserve">7</t>
    </r>
    <r>
      <rPr>
        <sz val="10"/>
        <color rgb="FF595959"/>
        <rFont val="WenQuanYi Zen Hei"/>
        <family val="2"/>
      </rPr>
      <t xml:space="preserve">月に</t>
    </r>
    <r>
      <rPr>
        <sz val="10"/>
        <color rgb="FF595959"/>
        <rFont val="Arial"/>
        <family val="0"/>
        <charset val="1"/>
      </rPr>
      <t xml:space="preserve">113</t>
    </r>
    <r>
      <rPr>
        <sz val="10"/>
        <color rgb="FF595959"/>
        <rFont val="WenQuanYi Zen Hei"/>
        <family val="2"/>
      </rPr>
      <t xml:space="preserve">万円の臨時計上があり今期は減少</t>
    </r>
  </si>
  <si>
    <t xml:space="preserve">雑費</t>
  </si>
  <si>
    <t xml:space="preserve">従業員賞与</t>
  </si>
  <si>
    <t xml:space="preserve">備品消耗品費</t>
  </si>
  <si>
    <r>
      <rPr>
        <sz val="10"/>
        <color rgb="FF595959"/>
        <rFont val="Arial"/>
        <family val="0"/>
        <charset val="1"/>
      </rPr>
      <t xml:space="preserve">8</t>
    </r>
    <r>
      <rPr>
        <sz val="10"/>
        <color rgb="FF595959"/>
        <rFont val="WenQuanYi Zen Hei"/>
        <family val="2"/>
      </rPr>
      <t xml:space="preserve">〜</t>
    </r>
    <r>
      <rPr>
        <sz val="10"/>
        <color rgb="FF595959"/>
        <rFont val="Arial"/>
        <family val="0"/>
        <charset val="1"/>
      </rPr>
      <t xml:space="preserve">9</t>
    </r>
    <r>
      <rPr>
        <sz val="10"/>
        <color rgb="FF595959"/>
        <rFont val="WenQuanYi Zen Hei"/>
        <family val="2"/>
      </rPr>
      <t xml:space="preserve">月に増加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前期比</t>
    </r>
    <r>
      <rPr>
        <sz val="10"/>
        <color rgb="FF595959"/>
        <rFont val="Arial"/>
        <family val="0"/>
        <charset val="1"/>
      </rPr>
      <t xml:space="preserve">+83%)</t>
    </r>
  </si>
  <si>
    <t xml:space="preserve">修繕費</t>
  </si>
  <si>
    <t xml:space="preserve">事務用消耗品費</t>
  </si>
  <si>
    <t xml:space="preserve">広告宣伝費</t>
  </si>
  <si>
    <t xml:space="preserve">新聞図書費</t>
  </si>
  <si>
    <t xml:space="preserve">寄付金</t>
  </si>
  <si>
    <r>
      <rPr>
        <b val="true"/>
        <sz val="10"/>
        <color rgb="FF000000"/>
        <rFont val="WenQuanYi Zen Hei"/>
        <family val="2"/>
      </rPr>
      <t xml:space="preserve">経費計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減価償却費を除く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</si>
  <si>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月平均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月期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</si>
  <si>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減価償却費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非資金・参考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</si>
  <si>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000000"/>
        <rFont val="WenQuanYi Zen Hei"/>
        <family val="2"/>
      </rPr>
      <t xml:space="preserve">来期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WenQuanYi Zen Hei"/>
        <family val="2"/>
      </rPr>
      <t xml:space="preserve">令和</t>
    </r>
    <r>
      <rPr>
        <b val="true"/>
        <sz val="11"/>
        <color rgb="FF000000"/>
        <rFont val="Arial"/>
        <family val="0"/>
        <charset val="1"/>
      </rPr>
      <t xml:space="preserve">9</t>
    </r>
    <r>
      <rPr>
        <b val="true"/>
        <sz val="11"/>
        <color rgb="FF000000"/>
        <rFont val="WenQuanYi Zen Hei"/>
        <family val="2"/>
      </rPr>
      <t xml:space="preserve">年</t>
    </r>
    <r>
      <rPr>
        <b val="true"/>
        <sz val="11"/>
        <color rgb="FF000000"/>
        <rFont val="Arial"/>
        <family val="0"/>
        <charset val="1"/>
      </rPr>
      <t xml:space="preserve">9</t>
    </r>
    <r>
      <rPr>
        <b val="true"/>
        <sz val="11"/>
        <color rgb="FF000000"/>
        <rFont val="WenQuanYi Zen Hei"/>
        <family val="2"/>
      </rPr>
      <t xml:space="preserve">月期</t>
    </r>
    <r>
      <rPr>
        <b val="true"/>
        <sz val="11"/>
        <color rgb="FF000000"/>
        <rFont val="Arial"/>
        <family val="0"/>
        <charset val="1"/>
      </rPr>
      <t xml:space="preserve">)</t>
    </r>
    <r>
      <rPr>
        <b val="true"/>
        <sz val="11"/>
        <color rgb="FF000000"/>
        <rFont val="WenQuanYi Zen Hei"/>
        <family val="2"/>
      </rPr>
      <t xml:space="preserve">の見積り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WenQuanYi Zen Hei"/>
        <family val="2"/>
      </rPr>
      <t xml:space="preserve">グループ別・資金繰り表の現金ベース</t>
    </r>
    <r>
      <rPr>
        <b val="true"/>
        <sz val="11"/>
        <color rgb="FF000000"/>
        <rFont val="Arial"/>
        <family val="0"/>
        <charset val="1"/>
      </rPr>
      <t xml:space="preserve">)</t>
    </r>
  </si>
  <si>
    <t xml:space="preserve">グループ</t>
  </si>
  <si>
    <r>
      <rPr>
        <b val="true"/>
        <sz val="10"/>
        <color rgb="FFFFFFFF"/>
        <rFont val="WenQuanYi Zen Hei"/>
        <family val="2"/>
      </rPr>
      <t xml:space="preserve">令和</t>
    </r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年</t>
    </r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月期 実績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会計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</si>
  <si>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来期 見込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現金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</si>
  <si>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増減</t>
  </si>
  <si>
    <t xml:space="preserve">備考</t>
  </si>
  <si>
    <r>
      <rPr>
        <sz val="10"/>
        <color rgb="FF595959"/>
        <rFont val="WenQuanYi Zen Hei"/>
        <family val="2"/>
      </rPr>
      <t xml:space="preserve">令和</t>
    </r>
    <r>
      <rPr>
        <sz val="10"/>
        <color rgb="FF595959"/>
        <rFont val="Arial"/>
        <family val="0"/>
        <charset val="1"/>
      </rPr>
      <t xml:space="preserve">8</t>
    </r>
    <r>
      <rPr>
        <sz val="10"/>
        <color rgb="FF595959"/>
        <rFont val="WenQuanYi Zen Hei"/>
        <family val="2"/>
      </rPr>
      <t xml:space="preserve">年</t>
    </r>
    <r>
      <rPr>
        <sz val="10"/>
        <color rgb="FF595959"/>
        <rFont val="Arial"/>
        <family val="0"/>
        <charset val="1"/>
      </rPr>
      <t xml:space="preserve">9</t>
    </r>
    <r>
      <rPr>
        <sz val="10"/>
        <color rgb="FF595959"/>
        <rFont val="WenQuanYi Zen Hei"/>
        <family val="2"/>
      </rPr>
      <t xml:space="preserve">月期の月次実績を同月に当てはめ</t>
    </r>
  </si>
  <si>
    <r>
      <rPr>
        <sz val="10"/>
        <color rgb="FF595959"/>
        <rFont val="WenQuanYi Zen Hei"/>
        <family val="2"/>
      </rPr>
      <t xml:space="preserve">保険一覧の現金支払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切替</t>
    </r>
    <r>
      <rPr>
        <sz val="10"/>
        <color rgb="FF595959"/>
        <rFont val="Arial"/>
        <family val="0"/>
        <charset val="1"/>
      </rPr>
      <t xml:space="preserve">B9)</t>
    </r>
    <r>
      <rPr>
        <sz val="10"/>
        <color rgb="FF595959"/>
        <rFont val="WenQuanYi Zen Hei"/>
        <family val="2"/>
      </rPr>
      <t xml:space="preserve">。会計上の保険料との差は前払費用</t>
    </r>
  </si>
  <si>
    <t xml:space="preserve">合計</t>
  </si>
  <si>
    <r>
      <rPr>
        <i val="true"/>
        <sz val="10"/>
        <color rgb="FF595959"/>
        <rFont val="WenQuanYi Zen Hei"/>
        <family val="2"/>
      </rPr>
      <t xml:space="preserve">※令和</t>
    </r>
    <r>
      <rPr>
        <i val="true"/>
        <sz val="10"/>
        <color rgb="FF595959"/>
        <rFont val="Arial"/>
        <family val="0"/>
        <charset val="1"/>
      </rPr>
      <t xml:space="preserve">8</t>
    </r>
    <r>
      <rPr>
        <i val="true"/>
        <sz val="10"/>
        <color rgb="FF595959"/>
        <rFont val="WenQuanYi Zen Hei"/>
        <family val="2"/>
      </rPr>
      <t xml:space="preserve">年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月期の会計上の経費と来期の現金見込の差は、ほぼ保険料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損金にならない部分の現金支払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によるものです。</t>
    </r>
  </si>
  <si>
    <r>
      <rPr>
        <b val="true"/>
        <sz val="13"/>
        <color rgb="FF000000"/>
        <rFont val="WenQuanYi Zen Hei"/>
        <family val="2"/>
      </rPr>
      <t xml:space="preserve">賃貸収入明細 </t>
    </r>
    <r>
      <rPr>
        <b val="true"/>
        <sz val="13"/>
        <color rgb="FF000000"/>
        <rFont val="Arial"/>
        <family val="0"/>
        <charset val="1"/>
      </rPr>
      <t xml:space="preserve">(</t>
    </r>
    <r>
      <rPr>
        <b val="true"/>
        <sz val="13"/>
        <color rgb="FF000000"/>
        <rFont val="WenQuanYi Zen Hei"/>
        <family val="2"/>
      </rPr>
      <t xml:space="preserve">株</t>
    </r>
    <r>
      <rPr>
        <b val="true"/>
        <sz val="13"/>
        <color rgb="FF000000"/>
        <rFont val="Arial"/>
        <family val="0"/>
        <charset val="1"/>
      </rPr>
      <t xml:space="preserve">)</t>
    </r>
    <r>
      <rPr>
        <b val="true"/>
        <sz val="13"/>
        <color rgb="FF000000"/>
        <rFont val="WenQuanYi Zen Hei"/>
        <family val="2"/>
      </rPr>
      <t xml:space="preserve">旭土地建物</t>
    </r>
    <r>
      <rPr>
        <b val="true"/>
        <sz val="13"/>
        <color rgb="FF000000"/>
        <rFont val="Arial"/>
        <family val="0"/>
        <charset val="1"/>
      </rPr>
      <t xml:space="preserve">(</t>
    </r>
    <r>
      <rPr>
        <b val="true"/>
        <sz val="13"/>
        <color rgb="FF000000"/>
        <rFont val="WenQuanYi Zen Hei"/>
        <family val="2"/>
      </rPr>
      <t xml:space="preserve">令和</t>
    </r>
    <r>
      <rPr>
        <b val="true"/>
        <sz val="13"/>
        <color rgb="FF000000"/>
        <rFont val="Arial"/>
        <family val="0"/>
        <charset val="1"/>
      </rPr>
      <t xml:space="preserve">8</t>
    </r>
    <r>
      <rPr>
        <b val="true"/>
        <sz val="13"/>
        <color rgb="FF000000"/>
        <rFont val="WenQuanYi Zen Hei"/>
        <family val="2"/>
      </rPr>
      <t xml:space="preserve">年</t>
    </r>
    <r>
      <rPr>
        <b val="true"/>
        <sz val="13"/>
        <color rgb="FF000000"/>
        <rFont val="Arial"/>
        <family val="0"/>
        <charset val="1"/>
      </rPr>
      <t xml:space="preserve">10</t>
    </r>
    <r>
      <rPr>
        <b val="true"/>
        <sz val="13"/>
        <color rgb="FF000000"/>
        <rFont val="WenQuanYi Zen Hei"/>
        <family val="2"/>
      </rPr>
      <t xml:space="preserve">月</t>
    </r>
    <r>
      <rPr>
        <b val="true"/>
        <sz val="13"/>
        <color rgb="FF000000"/>
        <rFont val="Arial"/>
        <family val="0"/>
        <charset val="1"/>
      </rPr>
      <t xml:space="preserve">15</t>
    </r>
    <r>
      <rPr>
        <b val="true"/>
        <sz val="13"/>
        <color rgb="FF000000"/>
        <rFont val="WenQuanYi Zen Hei"/>
        <family val="2"/>
      </rPr>
      <t xml:space="preserve">日付・月額</t>
    </r>
    <r>
      <rPr>
        <b val="true"/>
        <sz val="13"/>
        <color rgb="FF000000"/>
        <rFont val="Arial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</si>
  <si>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出典</t>
    </r>
    <r>
      <rPr>
        <i val="true"/>
        <sz val="10"/>
        <color rgb="FF595959"/>
        <rFont val="Arial"/>
        <family val="0"/>
        <charset val="1"/>
      </rPr>
      <t xml:space="preserve">: </t>
    </r>
    <r>
      <rPr>
        <i val="true"/>
        <sz val="10"/>
        <color rgb="FF595959"/>
        <rFont val="WenQuanYi Zen Hei"/>
        <family val="2"/>
      </rPr>
      <t xml:space="preserve">アップロードされた「賃貸収入・支出明細」シート </t>
    </r>
    <r>
      <rPr>
        <i val="true"/>
        <sz val="10"/>
        <color rgb="FF595959"/>
        <rFont val="Arial"/>
        <family val="0"/>
        <charset val="1"/>
      </rPr>
      <t xml:space="preserve">R8.10.15</t>
    </r>
    <r>
      <rPr>
        <i val="true"/>
        <sz val="10"/>
        <color rgb="FF595959"/>
        <rFont val="WenQuanYi Zen Hei"/>
        <family val="2"/>
      </rPr>
      <t xml:space="preserve">。コインパーキングは令和</t>
    </r>
    <r>
      <rPr>
        <i val="true"/>
        <sz val="10"/>
        <color rgb="FF595959"/>
        <rFont val="Arial"/>
        <family val="0"/>
        <charset val="1"/>
      </rPr>
      <t xml:space="preserve">7</t>
    </r>
    <r>
      <rPr>
        <i val="true"/>
        <sz val="10"/>
        <color rgb="FF595959"/>
        <rFont val="WenQuanYi Zen Hei"/>
        <family val="2"/>
      </rPr>
      <t xml:space="preserve">年</t>
    </r>
    <r>
      <rPr>
        <i val="true"/>
        <sz val="10"/>
        <color rgb="FF595959"/>
        <rFont val="Arial"/>
        <family val="0"/>
        <charset val="1"/>
      </rPr>
      <t xml:space="preserve">1</t>
    </r>
    <r>
      <rPr>
        <i val="true"/>
        <sz val="10"/>
        <color rgb="FF595959"/>
        <rFont val="WenQuanYi Zen Hei"/>
        <family val="2"/>
      </rPr>
      <t xml:space="preserve">〜</t>
    </r>
    <r>
      <rPr>
        <i val="true"/>
        <sz val="10"/>
        <color rgb="FF595959"/>
        <rFont val="Arial"/>
        <family val="0"/>
        <charset val="1"/>
      </rPr>
      <t xml:space="preserve">12</t>
    </r>
    <r>
      <rPr>
        <i val="true"/>
        <sz val="10"/>
        <color rgb="FF595959"/>
        <rFont val="WenQuanYi Zen Hei"/>
        <family val="2"/>
      </rPr>
      <t xml:space="preserve">月の月平均。青字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転記値。</t>
    </r>
  </si>
  <si>
    <t xml:space="preserve">借主</t>
  </si>
  <si>
    <r>
      <rPr>
        <b val="true"/>
        <sz val="10"/>
        <color rgb="FFFFFFFF"/>
        <rFont val="WenQuanYi Zen Hei"/>
        <family val="2"/>
      </rPr>
      <t xml:space="preserve">月額家賃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</si>
  <si>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みずほ銀行</t>
  </si>
  <si>
    <t xml:space="preserve">ジェントルマン</t>
  </si>
  <si>
    <t xml:space="preserve">XYZ</t>
  </si>
  <si>
    <t xml:space="preserve">坂本不動産</t>
  </si>
  <si>
    <t xml:space="preserve">グループ会社からの家賃</t>
  </si>
  <si>
    <t xml:space="preserve">カナコン</t>
  </si>
  <si>
    <t xml:space="preserve">ファミリー歯科</t>
  </si>
  <si>
    <r>
      <rPr>
        <sz val="10"/>
        <color rgb="FF000000"/>
        <rFont val="WenQuanYi Zen Hei"/>
        <family val="2"/>
      </rPr>
      <t xml:space="preserve">緑園カレージ</t>
    </r>
    <r>
      <rPr>
        <sz val="10"/>
        <color rgb="FF000000"/>
        <rFont val="Arial"/>
        <family val="0"/>
        <charset val="1"/>
      </rPr>
      <t xml:space="preserve">(10)</t>
    </r>
  </si>
  <si>
    <t xml:space="preserve">善部</t>
  </si>
  <si>
    <t xml:space="preserve">南万騎が原コインパーキング</t>
  </si>
  <si>
    <r>
      <rPr>
        <sz val="10"/>
        <color rgb="FF595959"/>
        <rFont val="Arial"/>
        <family val="0"/>
        <charset val="1"/>
      </rPr>
      <t xml:space="preserve">R7.1</t>
    </r>
    <r>
      <rPr>
        <sz val="10"/>
        <color rgb="FF595959"/>
        <rFont val="WenQuanYi Zen Hei"/>
        <family val="2"/>
      </rPr>
      <t xml:space="preserve">〜</t>
    </r>
    <r>
      <rPr>
        <sz val="10"/>
        <color rgb="FF595959"/>
        <rFont val="Arial"/>
        <family val="0"/>
        <charset val="1"/>
      </rPr>
      <t xml:space="preserve">12</t>
    </r>
    <r>
      <rPr>
        <sz val="10"/>
        <color rgb="FF595959"/>
        <rFont val="WenQuanYi Zen Hei"/>
        <family val="2"/>
      </rPr>
      <t xml:space="preserve">平均</t>
    </r>
  </si>
  <si>
    <t xml:space="preserve">厚木コインパーキング</t>
  </si>
  <si>
    <r>
      <rPr>
        <sz val="10"/>
        <color rgb="FF000000"/>
        <rFont val="WenQuanYi Zen Hei"/>
        <family val="2"/>
      </rPr>
      <t xml:space="preserve">サカモト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横浜西口</t>
    </r>
    <r>
      <rPr>
        <sz val="10"/>
        <color rgb="FF000000"/>
        <rFont val="Arial"/>
        <family val="0"/>
        <charset val="1"/>
      </rPr>
      <t xml:space="preserve">)</t>
    </r>
  </si>
  <si>
    <t xml:space="preserve">月額合計</t>
  </si>
  <si>
    <r>
      <rPr>
        <sz val="10"/>
        <color rgb="FF000000"/>
        <rFont val="WenQuanYi Zen Hei"/>
        <family val="2"/>
      </rPr>
      <t xml:space="preserve">元ファイルの合計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検算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</si>
  <si>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家賃支出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元ファイル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</si>
  <si>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595959"/>
        <rFont val="WenQuanYi Zen Hei"/>
        <family val="2"/>
      </rPr>
      <t xml:space="preserve">旭土地建物の「家賃支出」欄は</t>
    </r>
    <r>
      <rPr>
        <sz val="10"/>
        <color rgb="FF595959"/>
        <rFont val="Arial"/>
        <family val="0"/>
        <charset val="1"/>
      </rPr>
      <t xml:space="preserve">0</t>
    </r>
  </si>
  <si>
    <r>
      <rPr>
        <sz val="10"/>
        <color rgb="FF000000"/>
        <rFont val="WenQuanYi Zen Hei"/>
        <family val="2"/>
      </rPr>
      <t xml:space="preserve">参考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月期の賃貸売上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会計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の月平均</t>
    </r>
  </si>
  <si>
    <t xml:space="preserve">最新明細との差</t>
  </si>
  <si>
    <r>
      <rPr>
        <i val="true"/>
        <sz val="10"/>
        <color rgb="FF595959"/>
        <rFont val="WenQuanYi Zen Hei"/>
        <family val="2"/>
      </rPr>
      <t xml:space="preserve">※会計の賃貸売上は月ごとに</t>
    </r>
    <r>
      <rPr>
        <i val="true"/>
        <sz val="10"/>
        <color rgb="FF595959"/>
        <rFont val="Arial"/>
        <family val="0"/>
        <charset val="1"/>
      </rPr>
      <t xml:space="preserve">2.7</t>
    </r>
    <r>
      <rPr>
        <i val="true"/>
        <sz val="10"/>
        <color rgb="FF595959"/>
        <rFont val="WenQuanYi Zen Hei"/>
        <family val="2"/>
      </rPr>
      <t xml:space="preserve">〜</t>
    </r>
    <r>
      <rPr>
        <i val="true"/>
        <sz val="10"/>
        <color rgb="FF595959"/>
        <rFont val="Arial"/>
        <family val="0"/>
        <charset val="1"/>
      </rPr>
      <t xml:space="preserve">6.1</t>
    </r>
    <r>
      <rPr>
        <i val="true"/>
        <sz val="10"/>
        <color rgb="FF595959"/>
        <rFont val="WenQuanYi Zen Hei"/>
        <family val="2"/>
      </rPr>
      <t xml:space="preserve">百万円とばらつきがあります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実績シート参照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。来期は最新明細の月額を毎月一定として見積もっています。</t>
    </r>
  </si>
  <si>
    <r>
      <rPr>
        <b val="true"/>
        <sz val="13"/>
        <color rgb="FF000000"/>
        <rFont val="WenQuanYi Zen Hei"/>
        <family val="2"/>
      </rPr>
      <t xml:space="preserve">旭土地建物 保険契約一覧</t>
    </r>
    <r>
      <rPr>
        <b val="true"/>
        <sz val="13"/>
        <color rgb="FF000000"/>
        <rFont val="Arial"/>
        <family val="0"/>
        <charset val="1"/>
      </rPr>
      <t xml:space="preserve">(</t>
    </r>
    <r>
      <rPr>
        <b val="true"/>
        <sz val="13"/>
        <color rgb="FF000000"/>
        <rFont val="WenQuanYi Zen Hei"/>
        <family val="2"/>
      </rPr>
      <t xml:space="preserve">令和</t>
    </r>
    <r>
      <rPr>
        <b val="true"/>
        <sz val="13"/>
        <color rgb="FF000000"/>
        <rFont val="Arial"/>
        <family val="0"/>
        <charset val="1"/>
      </rPr>
      <t xml:space="preserve">8</t>
    </r>
    <r>
      <rPr>
        <b val="true"/>
        <sz val="13"/>
        <color rgb="FF000000"/>
        <rFont val="WenQuanYi Zen Hei"/>
        <family val="2"/>
      </rPr>
      <t xml:space="preserve">年</t>
    </r>
    <r>
      <rPr>
        <b val="true"/>
        <sz val="13"/>
        <color rgb="FF000000"/>
        <rFont val="Arial"/>
        <family val="0"/>
        <charset val="1"/>
      </rPr>
      <t xml:space="preserve">6</t>
    </r>
    <r>
      <rPr>
        <b val="true"/>
        <sz val="13"/>
        <color rgb="FF000000"/>
        <rFont val="WenQuanYi Zen Hei"/>
        <family val="2"/>
      </rPr>
      <t xml:space="preserve">月</t>
    </r>
    <r>
      <rPr>
        <b val="true"/>
        <sz val="13"/>
        <color rgb="FF000000"/>
        <rFont val="Arial"/>
        <family val="0"/>
        <charset val="1"/>
      </rPr>
      <t xml:space="preserve">10</t>
    </r>
    <r>
      <rPr>
        <b val="true"/>
        <sz val="13"/>
        <color rgb="FF000000"/>
        <rFont val="WenQuanYi Zen Hei"/>
        <family val="2"/>
      </rPr>
      <t xml:space="preserve">日現在</t>
    </r>
    <r>
      <rPr>
        <b val="true"/>
        <sz val="13"/>
        <color rgb="FF000000"/>
        <rFont val="Arial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</si>
  <si>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出典</t>
    </r>
    <r>
      <rPr>
        <i val="true"/>
        <sz val="10"/>
        <color rgb="FF595959"/>
        <rFont val="Arial"/>
        <family val="0"/>
        <charset val="1"/>
      </rPr>
      <t xml:space="preserve">: </t>
    </r>
    <r>
      <rPr>
        <i val="true"/>
        <sz val="10"/>
        <color rgb="FF595959"/>
        <rFont val="WenQuanYi Zen Hei"/>
        <family val="2"/>
      </rPr>
      <t xml:space="preserve">アップロードされた保険一覧ファイル「旭土地 </t>
    </r>
    <r>
      <rPr>
        <i val="true"/>
        <sz val="10"/>
        <color rgb="FF595959"/>
        <rFont val="Arial"/>
        <family val="0"/>
        <charset val="1"/>
      </rPr>
      <t xml:space="preserve">2026.6.10</t>
    </r>
    <r>
      <rPr>
        <i val="true"/>
        <sz val="10"/>
        <color rgb="FF595959"/>
        <rFont val="WenQuanYi Zen Hei"/>
        <family val="2"/>
      </rPr>
      <t xml:space="preserve">」シート。青字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転記値、黒字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計算。保険料は月払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月額、年払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年額。返戻金は万円。</t>
    </r>
  </si>
  <si>
    <t xml:space="preserve">番号</t>
  </si>
  <si>
    <t xml:space="preserve">保険会社</t>
  </si>
  <si>
    <t xml:space="preserve">契約番号</t>
  </si>
  <si>
    <t xml:space="preserve">加入日</t>
  </si>
  <si>
    <t xml:space="preserve">契約者</t>
  </si>
  <si>
    <t xml:space="preserve">保険種類</t>
  </si>
  <si>
    <t xml:space="preserve">損金割合</t>
  </si>
  <si>
    <t xml:space="preserve">被保険者</t>
  </si>
  <si>
    <t xml:space="preserve">保険期間</t>
  </si>
  <si>
    <t xml:space="preserve">払込方法</t>
  </si>
  <si>
    <r>
      <rPr>
        <b val="true"/>
        <sz val="10"/>
        <color rgb="FFFFFFFF"/>
        <rFont val="WenQuanYi Zen Hei"/>
        <family val="2"/>
      </rPr>
      <t xml:space="preserve">保険料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Arial"/>
        <family val="0"/>
        <charset val="1"/>
      </rPr>
      <t xml:space="preserve">)
</t>
    </r>
    <r>
      <rPr>
        <b val="true"/>
        <sz val="10"/>
        <color rgb="FFFFFFFF"/>
        <rFont val="WenQuanYi Zen Hei"/>
        <family val="2"/>
      </rPr>
      <t xml:space="preserve">月払</t>
    </r>
    <r>
      <rPr>
        <b val="true"/>
        <sz val="10"/>
        <color rgb="FFFFFFFF"/>
        <rFont val="Arial"/>
        <family val="0"/>
        <charset val="1"/>
      </rPr>
      <t xml:space="preserve">=</t>
    </r>
    <r>
      <rPr>
        <b val="true"/>
        <sz val="10"/>
        <color rgb="FFFFFFFF"/>
        <rFont val="WenQuanYi Zen Hei"/>
        <family val="2"/>
      </rPr>
      <t xml:space="preserve">月額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年払</t>
    </r>
    <r>
      <rPr>
        <b val="true"/>
        <sz val="10"/>
        <color rgb="FFFFFFFF"/>
        <rFont val="Arial"/>
        <family val="0"/>
        <charset val="1"/>
      </rPr>
      <t xml:space="preserve">=</t>
    </r>
    <r>
      <rPr>
        <b val="true"/>
        <sz val="10"/>
        <color rgb="FFFFFFFF"/>
        <rFont val="WenQuanYi Zen Hei"/>
        <family val="2"/>
      </rPr>
      <t xml:space="preserve">年額</t>
    </r>
  </si>
  <si>
    <r>
      <rPr>
        <b val="true"/>
        <sz val="10"/>
        <color rgb="FFFFFFFF"/>
        <rFont val="WenQuanYi Zen Hei"/>
        <family val="2"/>
      </rPr>
      <t xml:space="preserve">年間保険料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</si>
  <si>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年間損金計上額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</si>
  <si>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保険金</t>
  </si>
  <si>
    <r>
      <rPr>
        <b val="true"/>
        <sz val="10"/>
        <color rgb="FFFFFFFF"/>
        <rFont val="WenQuanYi Zen Hei"/>
        <family val="2"/>
      </rPr>
      <t xml:space="preserve">返戻金</t>
    </r>
    <r>
      <rPr>
        <b val="true"/>
        <sz val="10"/>
        <color rgb="FFFFFFFF"/>
        <rFont val="Arial"/>
        <family val="0"/>
        <charset val="1"/>
      </rPr>
      <t xml:space="preserve">(R8</t>
    </r>
    <r>
      <rPr>
        <b val="true"/>
        <sz val="10"/>
        <color rgb="FFFFFFFF"/>
        <rFont val="WenQuanYi Zen Hei"/>
        <family val="2"/>
      </rPr>
      <t xml:space="preserve">年・万円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</si>
  <si>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返戻率</t>
    </r>
    <r>
      <rPr>
        <b val="true"/>
        <sz val="10"/>
        <color rgb="FFFFFFFF"/>
        <rFont val="Arial"/>
        <family val="0"/>
        <charset val="1"/>
      </rPr>
      <t xml:space="preserve">(R8</t>
    </r>
    <r>
      <rPr>
        <b val="true"/>
        <sz val="10"/>
        <color rgb="FFFFFFFF"/>
        <rFont val="WenQuanYi Zen Hei"/>
        <family val="2"/>
      </rPr>
      <t xml:space="preserve">年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</si>
  <si>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意向</t>
  </si>
  <si>
    <r>
      <rPr>
        <b val="true"/>
        <sz val="10"/>
        <color rgb="FFFFFFFF"/>
        <rFont val="WenQuanYi Zen Hei"/>
        <family val="2"/>
      </rPr>
      <t xml:space="preserve">年払の支払月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加入日の月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</si>
  <si>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支払停止年月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入力で反映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</si>
  <si>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大同生命</t>
  </si>
  <si>
    <t xml:space="preserve">679-166564-0</t>
  </si>
  <si>
    <t xml:space="preserve">旭土地</t>
  </si>
  <si>
    <t xml:space="preserve">全額損金</t>
  </si>
  <si>
    <t xml:space="preserve">岡田 優子</t>
  </si>
  <si>
    <r>
      <rPr>
        <sz val="10"/>
        <color rgb="FF0000FF"/>
        <rFont val="Arial"/>
        <family val="0"/>
        <charset val="1"/>
      </rPr>
      <t xml:space="preserve">90</t>
    </r>
    <r>
      <rPr>
        <sz val="10"/>
        <color rgb="FF0000FF"/>
        <rFont val="WenQuanYi Zen Hei"/>
        <family val="2"/>
      </rPr>
      <t xml:space="preserve">歳まで</t>
    </r>
  </si>
  <si>
    <t xml:space="preserve">払済</t>
  </si>
  <si>
    <r>
      <rPr>
        <sz val="10"/>
        <color rgb="FF0000FF"/>
        <rFont val="Arial"/>
        <family val="0"/>
        <charset val="1"/>
      </rPr>
      <t xml:space="preserve">331</t>
    </r>
    <r>
      <rPr>
        <sz val="10"/>
        <color rgb="FF0000FF"/>
        <rFont val="WenQuanYi Zen Hei"/>
        <family val="2"/>
      </rPr>
      <t xml:space="preserve">万円</t>
    </r>
  </si>
  <si>
    <t xml:space="preserve">随時解約検討</t>
  </si>
  <si>
    <t xml:space="preserve">697-166566-0</t>
  </si>
  <si>
    <t xml:space="preserve">岡田 淳</t>
  </si>
  <si>
    <r>
      <rPr>
        <sz val="10"/>
        <color rgb="FF0000FF"/>
        <rFont val="Arial"/>
        <family val="0"/>
        <charset val="1"/>
      </rPr>
      <t xml:space="preserve">388</t>
    </r>
    <r>
      <rPr>
        <sz val="10"/>
        <color rgb="FF0000FF"/>
        <rFont val="WenQuanYi Zen Hei"/>
        <family val="2"/>
      </rPr>
      <t xml:space="preserve">万円</t>
    </r>
  </si>
  <si>
    <t xml:space="preserve">636-016316-0</t>
  </si>
  <si>
    <t xml:space="preserve">Ｊ 岡田 優子</t>
  </si>
  <si>
    <r>
      <rPr>
        <sz val="10"/>
        <color rgb="FF0000FF"/>
        <rFont val="Arial"/>
        <family val="0"/>
        <charset val="1"/>
      </rPr>
      <t xml:space="preserve">638</t>
    </r>
    <r>
      <rPr>
        <sz val="10"/>
        <color rgb="FF0000FF"/>
        <rFont val="WenQuanYi Zen Hei"/>
        <family val="2"/>
      </rPr>
      <t xml:space="preserve">万円</t>
    </r>
  </si>
  <si>
    <r>
      <rPr>
        <sz val="10"/>
        <color rgb="FF0000FF"/>
        <rFont val="Arial"/>
        <family val="0"/>
        <charset val="1"/>
      </rPr>
      <t xml:space="preserve">2027</t>
    </r>
    <r>
      <rPr>
        <sz val="10"/>
        <color rgb="FF0000FF"/>
        <rFont val="WenQuanYi Zen Hei"/>
        <family val="2"/>
      </rPr>
      <t xml:space="preserve">年度払済？</t>
    </r>
  </si>
  <si>
    <t xml:space="preserve">656-028099-0</t>
  </si>
  <si>
    <t xml:space="preserve">Ｔ 岡田 優子</t>
  </si>
  <si>
    <r>
      <rPr>
        <sz val="10"/>
        <color rgb="FF0000FF"/>
        <rFont val="Arial"/>
        <family val="0"/>
        <charset val="1"/>
      </rPr>
      <t xml:space="preserve">622</t>
    </r>
    <r>
      <rPr>
        <sz val="10"/>
        <color rgb="FF0000FF"/>
        <rFont val="WenQuanYi Zen Hei"/>
        <family val="2"/>
      </rPr>
      <t xml:space="preserve">万円</t>
    </r>
  </si>
  <si>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WenQuanYi Zen Hei"/>
        <family val="2"/>
      </rPr>
      <t xml:space="preserve">年度払済？</t>
    </r>
  </si>
  <si>
    <t xml:space="preserve">086-376628-0</t>
  </si>
  <si>
    <t xml:space="preserve">全損</t>
  </si>
  <si>
    <t xml:space="preserve">坂本 武</t>
  </si>
  <si>
    <t xml:space="preserve">終身</t>
  </si>
  <si>
    <t xml:space="preserve">月払</t>
  </si>
  <si>
    <r>
      <rPr>
        <sz val="10"/>
        <color rgb="FF0000FF"/>
        <rFont val="WenQuanYi Zen Hei"/>
        <family val="2"/>
      </rPr>
      <t xml:space="preserve">入院 </t>
    </r>
    <r>
      <rPr>
        <sz val="10"/>
        <color rgb="FF0000FF"/>
        <rFont val="Arial"/>
        <family val="0"/>
        <charset val="1"/>
      </rPr>
      <t xml:space="preserve">10,000</t>
    </r>
    <r>
      <rPr>
        <sz val="10"/>
        <color rgb="FF0000FF"/>
        <rFont val="WenQuanYi Zen Hei"/>
        <family val="2"/>
      </rPr>
      <t xml:space="preserve">円</t>
    </r>
  </si>
  <si>
    <t xml:space="preserve">保有</t>
  </si>
  <si>
    <r>
      <rPr>
        <sz val="10"/>
        <color rgb="FF595959"/>
        <rFont val="WenQuanYi Zen Hei"/>
        <family val="2"/>
      </rPr>
      <t xml:space="preserve">医療保険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入院日額</t>
    </r>
    <r>
      <rPr>
        <sz val="10"/>
        <color rgb="FF595959"/>
        <rFont val="Arial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万円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WenQuanYi Zen Hei"/>
        <family val="2"/>
      </rPr>
      <t xml:space="preserve">。元表の損金計上合計に未算入</t>
    </r>
  </si>
  <si>
    <t xml:space="preserve">636-010531-0</t>
  </si>
  <si>
    <t xml:space="preserve">横山 清美</t>
  </si>
  <si>
    <r>
      <rPr>
        <sz val="10"/>
        <color rgb="FF0000FF"/>
        <rFont val="WenQuanYi Zen Hei"/>
        <family val="2"/>
      </rPr>
      <t xml:space="preserve">Ｊ </t>
    </r>
    <r>
      <rPr>
        <sz val="10"/>
        <color rgb="FF0000FF"/>
        <rFont val="Arial"/>
        <family val="0"/>
        <charset val="1"/>
      </rPr>
      <t xml:space="preserve">90</t>
    </r>
    <r>
      <rPr>
        <sz val="10"/>
        <color rgb="FF0000FF"/>
        <rFont val="WenQuanYi Zen Hei"/>
        <family val="2"/>
      </rPr>
      <t xml:space="preserve">歳まで</t>
    </r>
  </si>
  <si>
    <r>
      <rPr>
        <sz val="10"/>
        <color rgb="FF0000FF"/>
        <rFont val="Arial"/>
        <family val="0"/>
        <charset val="1"/>
      </rPr>
      <t xml:space="preserve">1,500</t>
    </r>
    <r>
      <rPr>
        <sz val="10"/>
        <color rgb="FF0000FF"/>
        <rFont val="WenQuanYi Zen Hei"/>
        <family val="2"/>
      </rPr>
      <t xml:space="preserve">万円</t>
    </r>
  </si>
  <si>
    <t xml:space="preserve">697-074568-0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</si>
  <si>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WenQuanYi Zen Hei"/>
        <family val="2"/>
      </rPr>
      <t xml:space="preserve">割損金</t>
    </r>
  </si>
  <si>
    <r>
      <rPr>
        <sz val="10"/>
        <color rgb="FF0000FF"/>
        <rFont val="WenQuanYi Zen Hei"/>
        <family val="2"/>
      </rPr>
      <t xml:space="preserve">総Ｌ </t>
    </r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WenQuanYi Zen Hei"/>
        <family val="2"/>
      </rPr>
      <t xml:space="preserve">歳まで</t>
    </r>
  </si>
  <si>
    <r>
      <rPr>
        <sz val="10"/>
        <color rgb="FF0000FF"/>
        <rFont val="Arial"/>
        <family val="0"/>
        <charset val="1"/>
      </rPr>
      <t xml:space="preserve">10,000</t>
    </r>
    <r>
      <rPr>
        <sz val="10"/>
        <color rgb="FF0000FF"/>
        <rFont val="WenQuanYi Zen Hei"/>
        <family val="2"/>
      </rPr>
      <t xml:space="preserve">万円</t>
    </r>
  </si>
  <si>
    <t xml:space="preserve">697-129724-0</t>
  </si>
  <si>
    <r>
      <rPr>
        <sz val="10"/>
        <color rgb="FF0000FF"/>
        <rFont val="Arial"/>
        <family val="0"/>
        <charset val="1"/>
      </rPr>
      <t xml:space="preserve">3,000</t>
    </r>
    <r>
      <rPr>
        <sz val="10"/>
        <color rgb="FF0000FF"/>
        <rFont val="WenQuanYi Zen Hei"/>
        <family val="2"/>
      </rPr>
      <t xml:space="preserve">万円</t>
    </r>
  </si>
  <si>
    <t xml:space="preserve">636-013356-0</t>
  </si>
  <si>
    <t xml:space="preserve">坂本 麻莉</t>
  </si>
  <si>
    <t xml:space="preserve">697-131400-0</t>
  </si>
  <si>
    <r>
      <rPr>
        <sz val="10"/>
        <color rgb="FF0000FF"/>
        <rFont val="WenQuanYi Zen Hei"/>
        <family val="2"/>
      </rPr>
      <t xml:space="preserve">総Ｌ </t>
    </r>
    <r>
      <rPr>
        <sz val="10"/>
        <color rgb="FF0000FF"/>
        <rFont val="Arial"/>
        <family val="0"/>
        <charset val="1"/>
      </rPr>
      <t xml:space="preserve">90</t>
    </r>
    <r>
      <rPr>
        <sz val="10"/>
        <color rgb="FF0000FF"/>
        <rFont val="WenQuanYi Zen Hei"/>
        <family val="2"/>
      </rPr>
      <t xml:space="preserve">歳まで</t>
    </r>
  </si>
  <si>
    <r>
      <rPr>
        <sz val="10"/>
        <color rgb="FF0000FF"/>
        <rFont val="Arial"/>
        <family val="0"/>
        <charset val="1"/>
      </rPr>
      <t xml:space="preserve">6,000</t>
    </r>
    <r>
      <rPr>
        <sz val="10"/>
        <color rgb="FF0000FF"/>
        <rFont val="WenQuanYi Zen Hei"/>
        <family val="2"/>
      </rPr>
      <t xml:space="preserve">万円</t>
    </r>
  </si>
  <si>
    <t xml:space="preserve">697-159957-0</t>
  </si>
  <si>
    <t xml:space="preserve">年払</t>
  </si>
  <si>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WenQuanYi Zen Hei"/>
        <family val="2"/>
      </rPr>
      <t xml:space="preserve">年度払済？</t>
    </r>
  </si>
  <si>
    <t xml:space="preserve">656-028100-0</t>
  </si>
  <si>
    <t xml:space="preserve">Ｔ 岡田 淳</t>
  </si>
  <si>
    <r>
      <rPr>
        <sz val="10"/>
        <color rgb="FF0000FF"/>
        <rFont val="Arial"/>
        <family val="0"/>
        <charset val="1"/>
      </rPr>
      <t xml:space="preserve">15,000</t>
    </r>
    <r>
      <rPr>
        <sz val="10"/>
        <color rgb="FF0000FF"/>
        <rFont val="WenQuanYi Zen Hei"/>
        <family val="2"/>
      </rPr>
      <t xml:space="preserve">万円</t>
    </r>
  </si>
  <si>
    <t xml:space="preserve">日本生命</t>
  </si>
  <si>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WenQuanYi Zen Hei"/>
        <family val="2"/>
      </rPr>
      <t xml:space="preserve">割損金</t>
    </r>
  </si>
  <si>
    <t xml:space="preserve">坂本 信</t>
  </si>
  <si>
    <r>
      <rPr>
        <sz val="10"/>
        <color rgb="FF0000FF"/>
        <rFont val="Arial"/>
        <family val="0"/>
        <charset val="1"/>
      </rPr>
      <t xml:space="preserve">97</t>
    </r>
    <r>
      <rPr>
        <sz val="10"/>
        <color rgb="FF0000FF"/>
        <rFont val="WenQuanYi Zen Hei"/>
        <family val="2"/>
      </rPr>
      <t xml:space="preserve">歳まで</t>
    </r>
  </si>
  <si>
    <r>
      <rPr>
        <sz val="10"/>
        <color rgb="FF0000FF"/>
        <rFont val="Arial"/>
        <family val="0"/>
        <charset val="1"/>
      </rPr>
      <t xml:space="preserve">14,000</t>
    </r>
    <r>
      <rPr>
        <sz val="10"/>
        <color rgb="FF0000FF"/>
        <rFont val="WenQuanYi Zen Hei"/>
        <family val="2"/>
      </rPr>
      <t xml:space="preserve">万円</t>
    </r>
  </si>
  <si>
    <r>
      <rPr>
        <sz val="10"/>
        <color rgb="FF595959"/>
        <rFont val="WenQuanYi Zen Hei"/>
        <family val="2"/>
      </rPr>
      <t xml:space="preserve">元表の記載</t>
    </r>
    <r>
      <rPr>
        <sz val="10"/>
        <color rgb="FF595959"/>
        <rFont val="Arial"/>
        <family val="0"/>
        <charset val="1"/>
      </rPr>
      <t xml:space="preserve">: </t>
    </r>
    <r>
      <rPr>
        <sz val="10"/>
        <color rgb="FF595959"/>
        <rFont val="WenQuanYi Zen Hei"/>
        <family val="2"/>
      </rPr>
      <t xml:space="preserve">横浜</t>
    </r>
  </si>
  <si>
    <r>
      <rPr>
        <sz val="10"/>
        <color rgb="FF0000FF"/>
        <rFont val="Arial"/>
        <family val="0"/>
        <charset val="1"/>
      </rPr>
      <t xml:space="preserve">2,300</t>
    </r>
    <r>
      <rPr>
        <sz val="10"/>
        <color rgb="FF0000FF"/>
        <rFont val="WenQuanYi Zen Hei"/>
        <family val="2"/>
      </rPr>
      <t xml:space="preserve">万円</t>
    </r>
  </si>
  <si>
    <r>
      <rPr>
        <sz val="10"/>
        <color rgb="FF595959"/>
        <rFont val="WenQuanYi Zen Hei"/>
        <family val="2"/>
      </rPr>
      <t xml:space="preserve">元表の記載</t>
    </r>
    <r>
      <rPr>
        <sz val="10"/>
        <color rgb="FF595959"/>
        <rFont val="Arial"/>
        <family val="0"/>
        <charset val="1"/>
      </rPr>
      <t xml:space="preserve">: </t>
    </r>
    <r>
      <rPr>
        <sz val="10"/>
        <color rgb="FF595959"/>
        <rFont val="WenQuanYi Zen Hei"/>
        <family val="2"/>
      </rPr>
      <t xml:space="preserve">三菱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</si>
  <si>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WenQuanYi Zen Hei"/>
        <family val="2"/>
      </rPr>
      <t xml:space="preserve">歳まで</t>
    </r>
  </si>
  <si>
    <r>
      <rPr>
        <sz val="10"/>
        <color rgb="FF0000FF"/>
        <rFont val="Arial"/>
        <family val="0"/>
        <charset val="1"/>
      </rPr>
      <t xml:space="preserve">12,400</t>
    </r>
    <r>
      <rPr>
        <sz val="10"/>
        <color rgb="FF0000FF"/>
        <rFont val="WenQuanYi Zen Hei"/>
        <family val="2"/>
      </rPr>
      <t xml:space="preserve">万円</t>
    </r>
  </si>
  <si>
    <t xml:space="preserve">明治安田</t>
  </si>
  <si>
    <t xml:space="preserve">新養老保険</t>
  </si>
  <si>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WenQuanYi Zen Hei"/>
        <family val="2"/>
      </rPr>
      <t xml:space="preserve">歳まで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</si>
  <si>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WenQuanYi Zen Hei"/>
        <family val="2"/>
      </rPr>
      <t xml:space="preserve">万円</t>
    </r>
  </si>
  <si>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WenQuanYi Zen Hei"/>
        <family val="2"/>
      </rPr>
      <t xml:space="preserve">年度解約</t>
    </r>
  </si>
  <si>
    <r>
      <rPr>
        <sz val="10"/>
        <color rgb="FF0000FF"/>
        <rFont val="Arial"/>
        <family val="0"/>
        <charset val="1"/>
      </rPr>
      <t xml:space="preserve">67</t>
    </r>
    <r>
      <rPr>
        <sz val="10"/>
        <color rgb="FF0000FF"/>
        <rFont val="WenQuanYi Zen Hei"/>
        <family val="2"/>
      </rPr>
      <t xml:space="preserve">歳まで</t>
    </r>
  </si>
  <si>
    <r>
      <rPr>
        <sz val="10"/>
        <color rgb="FF0000FF"/>
        <rFont val="Arial"/>
        <family val="0"/>
        <charset val="1"/>
      </rPr>
      <t xml:space="preserve">70</t>
    </r>
    <r>
      <rPr>
        <sz val="10"/>
        <color rgb="FF0000FF"/>
        <rFont val="WenQuanYi Zen Hei"/>
        <family val="2"/>
      </rPr>
      <t xml:space="preserve">歳まで</t>
    </r>
  </si>
  <si>
    <r>
      <rPr>
        <sz val="10"/>
        <color rgb="FF0000FF"/>
        <rFont val="Arial"/>
        <family val="0"/>
        <charset val="1"/>
      </rPr>
      <t xml:space="preserve">1,878</t>
    </r>
    <r>
      <rPr>
        <sz val="10"/>
        <color rgb="FF0000FF"/>
        <rFont val="WenQuanYi Zen Hei"/>
        <family val="2"/>
      </rPr>
      <t xml:space="preserve">万円</t>
    </r>
  </si>
  <si>
    <r>
      <rPr>
        <sz val="10"/>
        <color rgb="FF595959"/>
        <rFont val="WenQuanYi Zen Hei"/>
        <family val="2"/>
      </rPr>
      <t xml:space="preserve">元表の右端欄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番号欄に「</t>
    </r>
    <r>
      <rPr>
        <sz val="10"/>
        <color rgb="FF595959"/>
        <rFont val="Arial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」と記載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WenQuanYi Zen Hei"/>
        <family val="2"/>
      </rPr>
      <t xml:space="preserve">。番号は本表で</t>
    </r>
    <r>
      <rPr>
        <sz val="10"/>
        <color rgb="FF595959"/>
        <rFont val="Arial"/>
        <family val="0"/>
        <charset val="1"/>
      </rPr>
      <t xml:space="preserve">19</t>
    </r>
    <r>
      <rPr>
        <sz val="10"/>
        <color rgb="FF595959"/>
        <rFont val="WenQuanYi Zen Hei"/>
        <family val="2"/>
      </rPr>
      <t xml:space="preserve">・</t>
    </r>
    <r>
      <rPr>
        <sz val="10"/>
        <color rgb="FF595959"/>
        <rFont val="Arial"/>
        <family val="0"/>
        <charset val="1"/>
      </rPr>
      <t xml:space="preserve">20</t>
    </r>
    <r>
      <rPr>
        <sz val="10"/>
        <color rgb="FF595959"/>
        <rFont val="WenQuanYi Zen Hei"/>
        <family val="2"/>
      </rPr>
      <t xml:space="preserve">に付番</t>
    </r>
  </si>
  <si>
    <r>
      <rPr>
        <sz val="10"/>
        <color rgb="FF595959"/>
        <rFont val="WenQuanYi Zen Hei"/>
        <family val="2"/>
      </rPr>
      <t xml:space="preserve">元表の右端欄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番号欄に「</t>
    </r>
    <r>
      <rPr>
        <sz val="10"/>
        <color rgb="FF595959"/>
        <rFont val="Arial"/>
        <family val="0"/>
        <charset val="1"/>
      </rPr>
      <t xml:space="preserve">11</t>
    </r>
    <r>
      <rPr>
        <sz val="10"/>
        <color rgb="FF595959"/>
        <rFont val="WenQuanYi Zen Hei"/>
        <family val="2"/>
      </rPr>
      <t xml:space="preserve">」と記載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WenQuanYi Zen Hei"/>
        <family val="2"/>
      </rPr>
      <t xml:space="preserve">。番号は本表で</t>
    </r>
    <r>
      <rPr>
        <sz val="10"/>
        <color rgb="FF595959"/>
        <rFont val="Arial"/>
        <family val="0"/>
        <charset val="1"/>
      </rPr>
      <t xml:space="preserve">19</t>
    </r>
    <r>
      <rPr>
        <sz val="10"/>
        <color rgb="FF595959"/>
        <rFont val="WenQuanYi Zen Hei"/>
        <family val="2"/>
      </rPr>
      <t xml:space="preserve">・</t>
    </r>
    <r>
      <rPr>
        <sz val="10"/>
        <color rgb="FF595959"/>
        <rFont val="Arial"/>
        <family val="0"/>
        <charset val="1"/>
      </rPr>
      <t xml:space="preserve">20</t>
    </r>
    <r>
      <rPr>
        <sz val="10"/>
        <color rgb="FF595959"/>
        <rFont val="WenQuanYi Zen Hei"/>
        <family val="2"/>
      </rPr>
      <t xml:space="preserve">に付番</t>
    </r>
  </si>
  <si>
    <r>
      <rPr>
        <sz val="10"/>
        <color rgb="FF595959"/>
        <rFont val="Arial"/>
        <family val="0"/>
        <charset val="1"/>
      </rPr>
      <t xml:space="preserve">K</t>
    </r>
    <r>
      <rPr>
        <sz val="10"/>
        <color rgb="FF595959"/>
        <rFont val="WenQuanYi Zen Hei"/>
        <family val="2"/>
      </rPr>
      <t xml:space="preserve">列合計は月払の月額合計</t>
    </r>
  </si>
  <si>
    <t xml:space="preserve">集計</t>
  </si>
  <si>
    <r>
      <rPr>
        <sz val="10"/>
        <color rgb="FF000000"/>
        <rFont val="WenQuanYi Zen Hei"/>
        <family val="2"/>
      </rPr>
      <t xml:space="preserve">月払の月額合計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</si>
  <si>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年払の年額合計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</si>
  <si>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年間保険料合計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</si>
  <si>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年間損金計上額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</si>
  <si>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損金にならない部分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円・資産計上等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</si>
  <si>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払済・保険料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の契約数</t>
    </r>
  </si>
  <si>
    <r>
      <rPr>
        <sz val="10"/>
        <color rgb="FF000000"/>
        <rFont val="Arial"/>
        <family val="0"/>
        <charset val="1"/>
      </rPr>
      <t xml:space="preserve">R8</t>
    </r>
    <r>
      <rPr>
        <sz val="10"/>
        <color rgb="FF000000"/>
        <rFont val="WenQuanYi Zen Hei"/>
        <family val="2"/>
      </rPr>
      <t xml:space="preserve">年の返戻金合計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Arial"/>
        <family val="0"/>
        <charset val="1"/>
      </rPr>
      <t xml:space="preserve">)</t>
    </r>
  </si>
  <si>
    <t xml:space="preserve">元表との照合</t>
  </si>
  <si>
    <t xml:space="preserve">本表</t>
  </si>
  <si>
    <t xml:space="preserve">元表</t>
  </si>
  <si>
    <t xml:space="preserve">差</t>
  </si>
  <si>
    <r>
      <rPr>
        <sz val="10"/>
        <color rgb="FF000000"/>
        <rFont val="WenQuanYi Zen Hei"/>
        <family val="2"/>
      </rPr>
      <t xml:space="preserve">月払の月額合計 番号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18(</t>
    </r>
    <r>
      <rPr>
        <sz val="10"/>
        <color rgb="FF000000"/>
        <rFont val="WenQuanYi Zen Hei"/>
        <family val="2"/>
      </rPr>
      <t xml:space="preserve">元表 </t>
    </r>
    <r>
      <rPr>
        <sz val="10"/>
        <color rgb="FF000000"/>
        <rFont val="Arial"/>
        <family val="0"/>
        <charset val="1"/>
      </rPr>
      <t xml:space="preserve">863,958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</si>
  <si>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年払 番号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12(</t>
    </r>
    <r>
      <rPr>
        <sz val="10"/>
        <color rgb="FF000000"/>
        <rFont val="WenQuanYi Zen Hei"/>
        <family val="2"/>
      </rPr>
      <t xml:space="preserve">元表 </t>
    </r>
    <r>
      <rPr>
        <sz val="10"/>
        <color rgb="FF000000"/>
        <rFont val="Arial"/>
        <family val="0"/>
        <charset val="1"/>
      </rPr>
      <t xml:space="preserve">7,406,207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</si>
  <si>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年払 番号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18(</t>
    </r>
    <r>
      <rPr>
        <sz val="10"/>
        <color rgb="FF000000"/>
        <rFont val="WenQuanYi Zen Hei"/>
        <family val="2"/>
      </rPr>
      <t xml:space="preserve">元表 </t>
    </r>
    <r>
      <rPr>
        <sz val="10"/>
        <color rgb="FF000000"/>
        <rFont val="Arial"/>
        <family val="0"/>
        <charset val="1"/>
      </rPr>
      <t xml:space="preserve">15,546,552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</si>
  <si>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損金計上 番号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WenQuanYi Zen Hei"/>
        <family val="2"/>
      </rPr>
      <t xml:space="preserve">の合計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元表 </t>
    </r>
    <r>
      <rPr>
        <sz val="10"/>
        <color rgb="FF000000"/>
        <rFont val="Arial"/>
        <family val="0"/>
        <charset val="1"/>
      </rPr>
      <t xml:space="preserve">20,068,524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</si>
  <si>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※元表の損金計上合計は、番号</t>
    </r>
    <r>
      <rPr>
        <i val="true"/>
        <sz val="10"/>
        <color rgb="FF595959"/>
        <rFont val="Arial"/>
        <family val="0"/>
        <charset val="1"/>
      </rPr>
      <t xml:space="preserve">5(</t>
    </r>
    <r>
      <rPr>
        <i val="true"/>
        <sz val="10"/>
        <color rgb="FF595959"/>
        <rFont val="WenQuanYi Zen Hei"/>
        <family val="2"/>
      </rPr>
      <t xml:space="preserve">医療保険・年</t>
    </r>
    <r>
      <rPr>
        <i val="true"/>
        <sz val="10"/>
        <color rgb="FF595959"/>
        <rFont val="Arial"/>
        <family val="0"/>
        <charset val="1"/>
      </rPr>
      <t xml:space="preserve">27</t>
    </r>
    <r>
      <rPr>
        <i val="true"/>
        <sz val="10"/>
        <color rgb="FF595959"/>
        <rFont val="WenQuanYi Zen Hei"/>
        <family val="2"/>
      </rPr>
      <t xml:space="preserve">万円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と別枠の番号</t>
    </r>
    <r>
      <rPr>
        <i val="true"/>
        <sz val="10"/>
        <color rgb="FF595959"/>
        <rFont val="Arial"/>
        <family val="0"/>
        <charset val="1"/>
      </rPr>
      <t xml:space="preserve">20(</t>
    </r>
    <r>
      <rPr>
        <i val="true"/>
        <sz val="10"/>
        <color rgb="FF595959"/>
        <rFont val="WenQuanYi Zen Hei"/>
        <family val="2"/>
      </rPr>
      <t xml:space="preserve">月額</t>
    </r>
    <r>
      <rPr>
        <i val="true"/>
        <sz val="10"/>
        <color rgb="FF595959"/>
        <rFont val="Arial"/>
        <family val="0"/>
        <charset val="1"/>
      </rPr>
      <t xml:space="preserve">28,900</t>
    </r>
    <r>
      <rPr>
        <i val="true"/>
        <sz val="10"/>
        <color rgb="FF595959"/>
        <rFont val="WenQuanYi Zen Hei"/>
        <family val="2"/>
      </rPr>
      <t xml:space="preserve">円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を含んでいません。本表の「年間損金計上額」にはこの</t>
    </r>
    <r>
      <rPr>
        <i val="true"/>
        <sz val="10"/>
        <color rgb="FF595959"/>
        <rFont val="Arial"/>
        <family val="0"/>
        <charset val="1"/>
      </rPr>
      <t xml:space="preserve">2</t>
    </r>
    <r>
      <rPr>
        <i val="true"/>
        <sz val="10"/>
        <color rgb="FF595959"/>
        <rFont val="WenQuanYi Zen Hei"/>
        <family val="2"/>
      </rPr>
      <t xml:space="preserve">件を含めています。</t>
    </r>
  </si>
  <si>
    <r>
      <rPr>
        <i val="true"/>
        <sz val="10"/>
        <color rgb="FF595959"/>
        <rFont val="WenQuanYi Zen Hei"/>
        <family val="2"/>
      </rPr>
      <t xml:space="preserve">※年払の支払月は加入日の月と仮定しています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会計上の保険料の計上月とおおむね一致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。実際の払込日は保険証券・引落口座で確認してください。</t>
    </r>
  </si>
  <si>
    <r>
      <rPr>
        <i val="true"/>
        <sz val="10"/>
        <color rgb="FF595959"/>
        <rFont val="WenQuanYi Zen Hei"/>
        <family val="2"/>
      </rPr>
      <t xml:space="preserve">※「支払停止年月」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黄色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に払済・解約の予定月を入れると、その月以降の支払が保険支払シートから除かれます。空欄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継続。</t>
    </r>
  </si>
  <si>
    <r>
      <rPr>
        <i val="true"/>
        <sz val="10"/>
        <color rgb="FF595959"/>
        <rFont val="WenQuanYi Zen Hei"/>
        <family val="2"/>
      </rPr>
      <t xml:space="preserve">※Ｊ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三大疾病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特約上皮内癌</t>
    </r>
    <r>
      <rPr>
        <i val="true"/>
        <sz val="10"/>
        <color rgb="FF595959"/>
        <rFont val="Arial"/>
        <family val="0"/>
        <charset val="1"/>
      </rPr>
      <t xml:space="preserve">) / </t>
    </r>
    <r>
      <rPr>
        <i val="true"/>
        <sz val="10"/>
        <color rgb="FF595959"/>
        <rFont val="WenQuanYi Zen Hei"/>
        <family val="2"/>
      </rPr>
      <t xml:space="preserve">Ｔ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身体障害</t>
    </r>
    <r>
      <rPr>
        <i val="true"/>
        <sz val="10"/>
        <color rgb="FF595959"/>
        <rFont val="Arial"/>
        <family val="0"/>
        <charset val="1"/>
      </rPr>
      <t xml:space="preserve">+</t>
    </r>
    <r>
      <rPr>
        <i val="true"/>
        <sz val="10"/>
        <color rgb="FF595959"/>
        <rFont val="WenQuanYi Zen Hei"/>
        <family val="2"/>
      </rPr>
      <t xml:space="preserve">障害死亡 </t>
    </r>
    <r>
      <rPr>
        <i val="true"/>
        <sz val="10"/>
        <color rgb="FF595959"/>
        <rFont val="Arial"/>
        <family val="0"/>
        <charset val="1"/>
      </rPr>
      <t xml:space="preserve">/ </t>
    </r>
    <r>
      <rPr>
        <i val="true"/>
        <sz val="10"/>
        <color rgb="FF595959"/>
        <rFont val="WenQuanYi Zen Hei"/>
        <family val="2"/>
      </rPr>
      <t xml:space="preserve">Ｌ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病気死亡・事故死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総合型Ｌ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ＡＩＧの損害付き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。被保険者名の頭記号は元表のまま。</t>
    </r>
  </si>
  <si>
    <r>
      <rPr>
        <b val="true"/>
        <sz val="13"/>
        <color rgb="FF000000"/>
        <rFont val="WenQuanYi Zen Hei"/>
        <family val="2"/>
      </rPr>
      <t xml:space="preserve">保険料の支払カレンダー</t>
    </r>
    <r>
      <rPr>
        <b val="true"/>
        <sz val="13"/>
        <color rgb="FF000000"/>
        <rFont val="Arial"/>
        <family val="0"/>
        <charset val="1"/>
      </rPr>
      <t xml:space="preserve">(</t>
    </r>
    <r>
      <rPr>
        <b val="true"/>
        <sz val="13"/>
        <color rgb="FF000000"/>
        <rFont val="WenQuanYi Zen Hei"/>
        <family val="2"/>
      </rPr>
      <t xml:space="preserve">現金ベース・円</t>
    </r>
    <r>
      <rPr>
        <b val="true"/>
        <sz val="13"/>
        <color rgb="FF000000"/>
        <rFont val="Arial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</si>
  <si>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保険一覧の払込方法・保険料から月別に展開。月払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毎月、年払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加入日の月、払済</t>
    </r>
    <r>
      <rPr>
        <i val="true"/>
        <sz val="10"/>
        <color rgb="FF595959"/>
        <rFont val="Arial"/>
        <family val="0"/>
        <charset val="1"/>
      </rPr>
      <t xml:space="preserve">=0</t>
    </r>
    <r>
      <rPr>
        <i val="true"/>
        <sz val="10"/>
        <color rgb="FF595959"/>
        <rFont val="WenQuanYi Zen Hei"/>
        <family val="2"/>
      </rPr>
      <t xml:space="preserve">。支払停止年月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保険一覧の</t>
    </r>
    <r>
      <rPr>
        <i val="true"/>
        <sz val="10"/>
        <color rgb="FF595959"/>
        <rFont val="Arial"/>
        <family val="0"/>
        <charset val="1"/>
      </rPr>
      <t xml:space="preserve">S</t>
    </r>
    <r>
      <rPr>
        <i val="true"/>
        <sz val="10"/>
        <color rgb="FF595959"/>
        <rFont val="WenQuanYi Zen Hei"/>
        <family val="2"/>
      </rPr>
      <t xml:space="preserve">列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を入れるとその月以降は</t>
    </r>
    <r>
      <rPr>
        <i val="true"/>
        <sz val="10"/>
        <color rgb="FF595959"/>
        <rFont val="Arial"/>
        <family val="0"/>
        <charset val="1"/>
      </rPr>
      <t xml:space="preserve">0</t>
    </r>
    <r>
      <rPr>
        <i val="true"/>
        <sz val="10"/>
        <color rgb="FF595959"/>
        <rFont val="WenQuanYi Zen Hei"/>
        <family val="2"/>
      </rPr>
      <t xml:space="preserve">になります。</t>
    </r>
  </si>
  <si>
    <t xml:space="preserve">番号・保険会社・被保険者</t>
  </si>
  <si>
    <t xml:space="preserve">期間計</t>
  </si>
  <si>
    <r>
      <rPr>
        <b val="true"/>
        <sz val="10"/>
        <color rgb="FFFFFFFF"/>
        <rFont val="WenQuanYi Zen Hei"/>
        <family val="2"/>
      </rPr>
      <t xml:space="preserve">来期計
</t>
    </r>
    <r>
      <rPr>
        <b val="true"/>
        <sz val="10"/>
        <color rgb="FFFFFFFF"/>
        <rFont val="Arial"/>
        <family val="0"/>
        <charset val="1"/>
      </rPr>
      <t xml:space="preserve">(R8/10</t>
    </r>
    <r>
      <rPr>
        <b val="true"/>
        <sz val="10"/>
        <color rgb="FFFFFFFF"/>
        <rFont val="WenQuanYi Zen Hei"/>
        <family val="2"/>
      </rPr>
      <t xml:space="preserve">〜</t>
    </r>
    <r>
      <rPr>
        <b val="true"/>
        <sz val="10"/>
        <color rgb="FFFFFFFF"/>
        <rFont val="Arial"/>
        <family val="0"/>
        <charset val="1"/>
      </rPr>
      <t xml:space="preserve">R9/9)</t>
    </r>
  </si>
  <si>
    <t xml:space="preserve">保険料 現金支払計</t>
  </si>
  <si>
    <r>
      <rPr>
        <i val="true"/>
        <sz val="10"/>
        <color rgb="FF595959"/>
        <rFont val="WenQuanYi Zen Hei"/>
        <family val="2"/>
      </rPr>
      <t xml:space="preserve">※来期計は令和</t>
    </r>
    <r>
      <rPr>
        <i val="true"/>
        <sz val="10"/>
        <color rgb="FF595959"/>
        <rFont val="Arial"/>
        <family val="0"/>
        <charset val="1"/>
      </rPr>
      <t xml:space="preserve">8</t>
    </r>
    <r>
      <rPr>
        <i val="true"/>
        <sz val="10"/>
        <color rgb="FF595959"/>
        <rFont val="WenQuanYi Zen Hei"/>
        <family val="2"/>
      </rPr>
      <t xml:space="preserve">年</t>
    </r>
    <r>
      <rPr>
        <i val="true"/>
        <sz val="10"/>
        <color rgb="FF595959"/>
        <rFont val="Arial"/>
        <family val="0"/>
        <charset val="1"/>
      </rPr>
      <t xml:space="preserve">10</t>
    </r>
    <r>
      <rPr>
        <i val="true"/>
        <sz val="10"/>
        <color rgb="FF595959"/>
        <rFont val="WenQuanYi Zen Hei"/>
        <family val="2"/>
      </rPr>
      <t xml:space="preserve">月〜令和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年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月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令和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年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月期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の合計。年払の支払月は加入日の月と仮定しています。</t>
    </r>
  </si>
  <si>
    <r>
      <rPr>
        <b val="true"/>
        <sz val="13"/>
        <color rgb="FF000000"/>
        <rFont val="WenQuanYi Zen Hei"/>
        <family val="2"/>
      </rPr>
      <t xml:space="preserve">解約返戻金の推移</t>
    </r>
    <r>
      <rPr>
        <b val="true"/>
        <sz val="13"/>
        <color rgb="FF000000"/>
        <rFont val="Arial"/>
        <family val="0"/>
        <charset val="1"/>
      </rPr>
      <t xml:space="preserve">(</t>
    </r>
    <r>
      <rPr>
        <b val="true"/>
        <sz val="13"/>
        <color rgb="FF000000"/>
        <rFont val="WenQuanYi Zen Hei"/>
        <family val="2"/>
      </rPr>
      <t xml:space="preserve">万円</t>
    </r>
    <r>
      <rPr>
        <b val="true"/>
        <sz val="13"/>
        <color rgb="FF000000"/>
        <rFont val="Arial"/>
        <family val="0"/>
        <charset val="1"/>
      </rPr>
      <t xml:space="preserve">)</t>
    </r>
    <r>
      <rPr>
        <b val="true"/>
        <sz val="13"/>
        <color rgb="FF000000"/>
        <rFont val="WenQuanYi Zen Hei"/>
        <family val="2"/>
      </rPr>
      <t xml:space="preserve">・旭土地建物</t>
    </r>
  </si>
  <si>
    <r>
      <rPr>
        <i val="true"/>
        <sz val="10"/>
        <color rgb="FF595959"/>
        <rFont val="WenQuanYi Zen Hei"/>
        <family val="2"/>
      </rPr>
      <t xml:space="preserve">出典</t>
    </r>
    <r>
      <rPr>
        <i val="true"/>
        <sz val="10"/>
        <color rgb="FF595959"/>
        <rFont val="Arial"/>
        <family val="0"/>
        <charset val="1"/>
      </rPr>
      <t xml:space="preserve">: </t>
    </r>
    <r>
      <rPr>
        <i val="true"/>
        <sz val="10"/>
        <color rgb="FF595959"/>
        <rFont val="WenQuanYi Zen Hei"/>
        <family val="2"/>
      </rPr>
      <t xml:space="preserve">保険一覧ファイル「旭土地 </t>
    </r>
    <r>
      <rPr>
        <i val="true"/>
        <sz val="10"/>
        <color rgb="FF595959"/>
        <rFont val="Arial"/>
        <family val="0"/>
        <charset val="1"/>
      </rPr>
      <t xml:space="preserve">2026.6.10</t>
    </r>
    <r>
      <rPr>
        <i val="true"/>
        <sz val="10"/>
        <color rgb="FF595959"/>
        <rFont val="WenQuanYi Zen Hei"/>
        <family val="2"/>
      </rPr>
      <t xml:space="preserve">」。各年の返戻金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万円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と返戻率。番号</t>
    </r>
    <r>
      <rPr>
        <i val="true"/>
        <sz val="10"/>
        <color rgb="FF595959"/>
        <rFont val="Arial"/>
        <family val="0"/>
        <charset val="1"/>
      </rPr>
      <t xml:space="preserve">5(</t>
    </r>
    <r>
      <rPr>
        <i val="true"/>
        <sz val="10"/>
        <color rgb="FF595959"/>
        <rFont val="WenQuanYi Zen Hei"/>
        <family val="2"/>
      </rPr>
      <t xml:space="preserve">医療保険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は元表に推移なし。</t>
    </r>
  </si>
  <si>
    <t xml:space="preserve">年</t>
  </si>
  <si>
    <r>
      <rPr>
        <b val="true"/>
        <sz val="10"/>
        <color rgb="FF000000"/>
        <rFont val="Arial"/>
        <family val="0"/>
        <charset val="1"/>
      </rPr>
      <t xml:space="preserve">2025</t>
    </r>
    <r>
      <rPr>
        <b val="true"/>
        <sz val="10"/>
        <color rgb="FF000000"/>
        <rFont val="WenQuanYi Zen Hei"/>
        <family val="2"/>
      </rPr>
      <t xml:space="preserve">年</t>
    </r>
  </si>
  <si>
    <r>
      <rPr>
        <b val="true"/>
        <sz val="10"/>
        <color rgb="FF000000"/>
        <rFont val="Arial"/>
        <family val="0"/>
        <charset val="1"/>
      </rPr>
      <t xml:space="preserve">2026</t>
    </r>
    <r>
      <rPr>
        <b val="true"/>
        <sz val="10"/>
        <color rgb="FF000000"/>
        <rFont val="WenQuanYi Zen Hei"/>
        <family val="2"/>
      </rPr>
      <t xml:space="preserve">年</t>
    </r>
  </si>
  <si>
    <r>
      <rPr>
        <b val="true"/>
        <sz val="10"/>
        <color rgb="FF000000"/>
        <rFont val="Arial"/>
        <family val="0"/>
        <charset val="1"/>
      </rPr>
      <t xml:space="preserve">2027</t>
    </r>
    <r>
      <rPr>
        <b val="true"/>
        <sz val="10"/>
        <color rgb="FF000000"/>
        <rFont val="WenQuanYi Zen Hei"/>
        <family val="2"/>
      </rPr>
      <t xml:space="preserve">年</t>
    </r>
  </si>
  <si>
    <r>
      <rPr>
        <b val="true"/>
        <sz val="10"/>
        <color rgb="FF000000"/>
        <rFont val="Arial"/>
        <family val="0"/>
        <charset val="1"/>
      </rPr>
      <t xml:space="preserve">2028</t>
    </r>
    <r>
      <rPr>
        <b val="true"/>
        <sz val="10"/>
        <color rgb="FF000000"/>
        <rFont val="WenQuanYi Zen Hei"/>
        <family val="2"/>
      </rPr>
      <t xml:space="preserve">年</t>
    </r>
  </si>
  <si>
    <r>
      <rPr>
        <b val="true"/>
        <sz val="10"/>
        <color rgb="FF000000"/>
        <rFont val="Arial"/>
        <family val="0"/>
        <charset val="1"/>
      </rPr>
      <t xml:space="preserve">2029</t>
    </r>
    <r>
      <rPr>
        <b val="true"/>
        <sz val="10"/>
        <color rgb="FF000000"/>
        <rFont val="WenQuanYi Zen Hei"/>
        <family val="2"/>
      </rPr>
      <t xml:space="preserve">年</t>
    </r>
  </si>
  <si>
    <r>
      <rPr>
        <b val="true"/>
        <sz val="10"/>
        <color rgb="FF000000"/>
        <rFont val="Arial"/>
        <family val="0"/>
        <charset val="1"/>
      </rPr>
      <t xml:space="preserve">2030</t>
    </r>
    <r>
      <rPr>
        <b val="true"/>
        <sz val="10"/>
        <color rgb="FF000000"/>
        <rFont val="WenQuanYi Zen Hei"/>
        <family val="2"/>
      </rPr>
      <t xml:space="preserve">年</t>
    </r>
  </si>
  <si>
    <r>
      <rPr>
        <b val="true"/>
        <sz val="10"/>
        <color rgb="FF000000"/>
        <rFont val="Arial"/>
        <family val="0"/>
        <charset val="1"/>
      </rPr>
      <t xml:space="preserve">2031</t>
    </r>
    <r>
      <rPr>
        <b val="true"/>
        <sz val="10"/>
        <color rgb="FF000000"/>
        <rFont val="WenQuanYi Zen Hei"/>
        <family val="2"/>
      </rPr>
      <t xml:space="preserve">年</t>
    </r>
  </si>
  <si>
    <r>
      <rPr>
        <b val="true"/>
        <sz val="10"/>
        <color rgb="FF000000"/>
        <rFont val="Arial"/>
        <family val="0"/>
        <charset val="1"/>
      </rPr>
      <t xml:space="preserve">2032</t>
    </r>
    <r>
      <rPr>
        <b val="true"/>
        <sz val="10"/>
        <color rgb="FF000000"/>
        <rFont val="WenQuanYi Zen Hei"/>
        <family val="2"/>
      </rPr>
      <t xml:space="preserve">年</t>
    </r>
  </si>
  <si>
    <r>
      <rPr>
        <b val="true"/>
        <sz val="10"/>
        <color rgb="FF000000"/>
        <rFont val="Arial"/>
        <family val="0"/>
        <charset val="1"/>
      </rPr>
      <t xml:space="preserve">2033</t>
    </r>
    <r>
      <rPr>
        <b val="true"/>
        <sz val="10"/>
        <color rgb="FF000000"/>
        <rFont val="WenQuanYi Zen Hei"/>
        <family val="2"/>
      </rPr>
      <t xml:space="preserve">年</t>
    </r>
  </si>
  <si>
    <r>
      <rPr>
        <b val="true"/>
        <sz val="10"/>
        <color rgb="FF000000"/>
        <rFont val="Arial"/>
        <family val="0"/>
        <charset val="1"/>
      </rPr>
      <t xml:space="preserve">2034</t>
    </r>
    <r>
      <rPr>
        <b val="true"/>
        <sz val="10"/>
        <color rgb="FF000000"/>
        <rFont val="WenQuanYi Zen Hei"/>
        <family val="2"/>
      </rPr>
      <t xml:space="preserve">年</t>
    </r>
  </si>
  <si>
    <r>
      <rPr>
        <b val="true"/>
        <sz val="10"/>
        <color rgb="FF000000"/>
        <rFont val="Arial"/>
        <family val="0"/>
        <charset val="1"/>
      </rPr>
      <t xml:space="preserve">2035</t>
    </r>
    <r>
      <rPr>
        <b val="true"/>
        <sz val="10"/>
        <color rgb="FF000000"/>
        <rFont val="WenQuanYi Zen Hei"/>
        <family val="2"/>
      </rPr>
      <t xml:space="preserve">年</t>
    </r>
  </si>
  <si>
    <r>
      <rPr>
        <b val="true"/>
        <sz val="10"/>
        <color rgb="FF000000"/>
        <rFont val="WenQuanYi Zen Hei"/>
        <family val="2"/>
      </rPr>
      <t xml:space="preserve">返戻率</t>
    </r>
    <r>
      <rPr>
        <b val="true"/>
        <sz val="10"/>
        <color rgb="FF000000"/>
        <rFont val="Arial"/>
        <family val="0"/>
        <charset val="1"/>
      </rPr>
      <t xml:space="preserve">(R8</t>
    </r>
    <r>
      <rPr>
        <b val="true"/>
        <sz val="10"/>
        <color rgb="FF000000"/>
        <rFont val="WenQuanYi Zen Hei"/>
        <family val="2"/>
      </rPr>
      <t xml:space="preserve">年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</si>
  <si>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※返戻金は各年の見込額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万円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。合計は期間満了済みの契約が抜けるため、年が進むと減る箇所があります。解約時の課税関係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返戻金−資産計上額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は税理士に確認してください。</t>
    </r>
  </si>
  <si>
    <t xml:space="preserve">社債の採算確認と賃貸アパートとの比較</t>
  </si>
  <si>
    <r>
      <rPr>
        <i val="true"/>
        <sz val="10"/>
        <color rgb="FF595959"/>
        <rFont val="WenQuanYi Zen Hei"/>
        <family val="2"/>
      </rPr>
      <t xml:space="preserve">数値は前提シートの設定を引用。比較用アパート条件は仮置き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青字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なので、実際の物件資料に置き換えてください。</t>
    </r>
  </si>
  <si>
    <r>
      <rPr>
        <b val="true"/>
        <sz val="10"/>
        <color rgb="FF000000"/>
        <rFont val="Arial"/>
        <family val="0"/>
        <charset val="1"/>
      </rPr>
      <t xml:space="preserve">1. </t>
    </r>
    <r>
      <rPr>
        <b val="true"/>
        <sz val="10"/>
        <color rgb="FF000000"/>
        <rFont val="WenQuanYi Zen Hei"/>
        <family val="2"/>
      </rPr>
      <t xml:space="preserve">社債の損益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為替を購入時のまま固定した場合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</si>
  <si>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投資額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</si>
  <si>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年間利息</t>
    </r>
    <r>
      <rPr>
        <sz val="10"/>
        <color rgb="FF000000"/>
        <rFont val="Arial"/>
        <family val="0"/>
        <charset val="1"/>
      </rPr>
      <t xml:space="preserve">(USD)</t>
    </r>
  </si>
  <si>
    <r>
      <rPr>
        <sz val="10"/>
        <color rgb="FF000000"/>
        <rFont val="WenQuanYi Zen Hei"/>
        <family val="2"/>
      </rPr>
      <t xml:space="preserve">年間利息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円・税引前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</si>
  <si>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年間利息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円・源泉税引後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</si>
  <si>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年間の税引後利息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</si>
  <si>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円ベース年利回り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税引後・手数料込み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</si>
  <si>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595959"/>
        <rFont val="WenQuanYi Zen Hei"/>
        <family val="2"/>
      </rPr>
      <t xml:space="preserve">提示の</t>
    </r>
    <r>
      <rPr>
        <sz val="10"/>
        <color rgb="FF595959"/>
        <rFont val="Arial"/>
        <family val="0"/>
        <charset val="1"/>
      </rPr>
      <t xml:space="preserve">7%</t>
    </r>
    <r>
      <rPr>
        <sz val="10"/>
        <color rgb="FF595959"/>
        <rFont val="WenQuanYi Zen Hei"/>
        <family val="2"/>
      </rPr>
      <t xml:space="preserve">から、源泉税と為替手数料の分だけ低下</t>
    </r>
  </si>
  <si>
    <r>
      <rPr>
        <sz val="10"/>
        <color rgb="FF595959"/>
        <rFont val="WenQuanYi Zen Hei"/>
        <family val="2"/>
      </rPr>
      <t xml:space="preserve">これより円高になると</t>
    </r>
    <r>
      <rPr>
        <sz val="10"/>
        <color rgb="FF595959"/>
        <rFont val="Arial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年トータルで元本割れ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円ベース</t>
    </r>
    <r>
      <rPr>
        <sz val="10"/>
        <color rgb="FF595959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</si>
  <si>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許容できる円高幅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購入時比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</si>
  <si>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2. </t>
    </r>
    <r>
      <rPr>
        <b val="true"/>
        <sz val="10"/>
        <color rgb="FF000000"/>
        <rFont val="WenQuanYi Zen Hei"/>
        <family val="2"/>
      </rPr>
      <t xml:space="preserve">償還時の為替別 </t>
    </r>
    <r>
      <rPr>
        <b val="true"/>
        <sz val="10"/>
        <color rgb="FF000000"/>
        <rFont val="Arial"/>
        <family val="0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年間の損益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円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</si>
  <si>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償還時為替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Arial"/>
        <family val="0"/>
        <charset val="1"/>
      </rPr>
      <t xml:space="preserve">/USD)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</si>
  <si>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年間の損益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</si>
  <si>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年率換算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単純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</si>
  <si>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※利息は購入時為替で円換算、利息への課税は源泉税のみで計算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為替差損益の課税効果は考慮していません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。</t>
    </r>
  </si>
  <si>
    <r>
      <rPr>
        <b val="true"/>
        <sz val="10"/>
        <color rgb="FF000000"/>
        <rFont val="Arial"/>
        <family val="0"/>
        <charset val="1"/>
      </rPr>
      <t xml:space="preserve">3. </t>
    </r>
    <r>
      <rPr>
        <b val="true"/>
        <sz val="10"/>
        <color rgb="FF000000"/>
        <rFont val="WenQuanYi Zen Hei"/>
        <family val="2"/>
      </rPr>
      <t xml:space="preserve">賃貸アパート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同額を現金投資した場合</t>
    </r>
    <r>
      <rPr>
        <b val="true"/>
        <sz val="10"/>
        <color rgb="FF000000"/>
        <rFont val="Arial"/>
        <family val="0"/>
        <charset val="1"/>
      </rPr>
      <t xml:space="preserve">)</t>
    </r>
    <r>
      <rPr>
        <b val="true"/>
        <sz val="10"/>
        <color rgb="FF000000"/>
        <rFont val="WenQuanYi Zen Hei"/>
        <family val="2"/>
      </rPr>
      <t xml:space="preserve">との比較  ※仮置き</t>
    </r>
  </si>
  <si>
    <r>
      <rPr>
        <sz val="10"/>
        <color rgb="FF000000"/>
        <rFont val="WenQuanYi Zen Hei"/>
        <family val="2"/>
      </rPr>
      <t xml:space="preserve">物件価格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</si>
  <si>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表面利回り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仮置き</t>
    </r>
    <r>
      <rPr>
        <sz val="10"/>
        <color rgb="FF000000"/>
        <rFont val="Arial"/>
        <family val="0"/>
        <charset val="1"/>
      </rPr>
      <t xml:space="preserve">)</t>
    </r>
  </si>
  <si>
    <t xml:space="preserve">物件資料の値に置換</t>
  </si>
  <si>
    <r>
      <rPr>
        <sz val="10"/>
        <color rgb="FF000000"/>
        <rFont val="WenQuanYi Zen Hei"/>
        <family val="2"/>
      </rPr>
      <t xml:space="preserve">空室・滞納ロス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仮置き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</si>
  <si>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運営費率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管理・修繕・固定資産税・保険、仮置き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</si>
  <si>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実質利回り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税引前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</si>
  <si>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社債の円ベース利回り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上記</t>
    </r>
    <r>
      <rPr>
        <sz val="10"/>
        <color rgb="FF000000"/>
        <rFont val="Arial"/>
        <family val="0"/>
        <charset val="1"/>
      </rPr>
      <t xml:space="preserve">1.</t>
    </r>
    <r>
      <rPr>
        <sz val="10"/>
        <color rgb="FF000000"/>
        <rFont val="WenQuanYi Zen Hei"/>
        <family val="2"/>
      </rPr>
      <t xml:space="preserve">より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</si>
  <si>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※アパートは円建てで為替リスクなし・売却可能な実物資産。一方で空室・修繕・出口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売却価格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のリスクと、取得に伴う諸費用があります。</t>
    </r>
  </si>
  <si>
    <r>
      <rPr>
        <i val="true"/>
        <sz val="10"/>
        <color rgb="FF595959"/>
        <rFont val="WenQuanYi Zen Hei"/>
        <family val="2"/>
      </rPr>
      <t xml:space="preserve">※貴社は令和</t>
    </r>
    <r>
      <rPr>
        <i val="true"/>
        <sz val="10"/>
        <color rgb="FF595959"/>
        <rFont val="Arial"/>
        <family val="0"/>
        <charset val="1"/>
      </rPr>
      <t xml:space="preserve">8</t>
    </r>
    <r>
      <rPr>
        <i val="true"/>
        <sz val="10"/>
        <color rgb="FF595959"/>
        <rFont val="WenQuanYi Zen Hei"/>
        <family val="2"/>
      </rPr>
      <t xml:space="preserve">年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月期が大幅な欠損のため、減価償却による節税効果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アパートの利点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は当面ほぼ見込めません。</t>
    </r>
  </si>
  <si>
    <r>
      <rPr>
        <b val="true"/>
        <sz val="10"/>
        <color rgb="FF000000"/>
        <rFont val="Arial"/>
        <family val="0"/>
        <charset val="1"/>
      </rPr>
      <t xml:space="preserve">4. </t>
    </r>
    <r>
      <rPr>
        <b val="true"/>
        <sz val="10"/>
        <color rgb="FF000000"/>
        <rFont val="WenQuanYi Zen Hei"/>
        <family val="2"/>
      </rPr>
      <t xml:space="preserve">大和証券に確認したい事項</t>
    </r>
  </si>
  <si>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WenQuanYi Zen Hei"/>
        <family val="2"/>
      </rPr>
      <t xml:space="preserve">発行体名と格付</t>
    </r>
    <r>
      <rPr>
        <sz val="10"/>
        <color rgb="FF000000"/>
        <rFont val="Arial"/>
        <family val="0"/>
        <charset val="1"/>
      </rPr>
      <t xml:space="preserve">(7%</t>
    </r>
    <r>
      <rPr>
        <sz val="10"/>
        <color rgb="FF000000"/>
        <rFont val="WenQuanYi Zen Hei"/>
        <family val="2"/>
      </rPr>
      <t xml:space="preserve">は米国債などより大幅に高い水準のため、発行体の信用力を確認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</si>
  <si>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2. 7%</t>
    </r>
    <r>
      <rPr>
        <sz val="10"/>
        <color rgb="FF000000"/>
        <rFont val="WenQuanYi Zen Hei"/>
        <family val="2"/>
      </rPr>
      <t xml:space="preserve">は「表面利率」か「利回り」か。発行価格は額面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か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割引・割増の有無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</si>
  <si>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3. </t>
    </r>
    <r>
      <rPr>
        <sz val="10"/>
        <color rgb="FF000000"/>
        <rFont val="WenQuanYi Zen Hei"/>
        <family val="2"/>
      </rPr>
      <t xml:space="preserve">期限前償還条項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コーラブル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・利率変動・株価連動など、仕組債の要素がないか</t>
    </r>
  </si>
  <si>
    <r>
      <rPr>
        <sz val="10"/>
        <color rgb="FF000000"/>
        <rFont val="Arial"/>
        <family val="0"/>
        <charset val="1"/>
      </rPr>
      <t xml:space="preserve">4. </t>
    </r>
    <r>
      <rPr>
        <sz val="10"/>
        <color rgb="FF000000"/>
        <rFont val="WenQuanYi Zen Hei"/>
        <family val="2"/>
      </rPr>
      <t xml:space="preserve">利払い頻度と利払日、受渡日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購入月の確定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</si>
  <si>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5. </t>
    </r>
    <r>
      <rPr>
        <sz val="10"/>
        <color rgb="FF000000"/>
        <rFont val="WenQuanYi Zen Hei"/>
        <family val="2"/>
      </rPr>
      <t xml:space="preserve">為替手数料・販売手数料の総額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円転コスト、償還時の円転コスト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</si>
  <si>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6. </t>
    </r>
    <r>
      <rPr>
        <sz val="10"/>
        <color rgb="FF000000"/>
        <rFont val="WenQuanYi Zen Hei"/>
        <family val="2"/>
      </rPr>
      <t xml:space="preserve">中途売却する場合の売却価格の目安と流動性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売れない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大幅値引きのリスク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</si>
  <si>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7. </t>
    </r>
    <r>
      <rPr>
        <sz val="10"/>
        <color rgb="FF000000"/>
        <rFont val="WenQuanYi Zen Hei"/>
        <family val="2"/>
      </rPr>
      <t xml:space="preserve">法人の源泉徴収・会計処理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満期保有目的か、期末の為替換算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を顧問税理士に確認</t>
    </r>
  </si>
  <si>
    <r>
      <rPr>
        <sz val="10"/>
        <color rgb="FF000000"/>
        <rFont val="Arial"/>
        <family val="0"/>
        <charset val="1"/>
      </rPr>
      <t xml:space="preserve">8. </t>
    </r>
    <r>
      <rPr>
        <sz val="10"/>
        <color rgb="FF000000"/>
        <rFont val="WenQuanYi Zen Hei"/>
        <family val="2"/>
      </rPr>
      <t xml:space="preserve">購入資金</t>
    </r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WenQuanYi Zen Hei"/>
        <family val="2"/>
      </rPr>
      <t xml:space="preserve">万</t>
    </r>
    <r>
      <rPr>
        <sz val="10"/>
        <color rgb="FF000000"/>
        <rFont val="Arial"/>
        <family val="0"/>
        <charset val="1"/>
      </rPr>
      <t xml:space="preserve">USD</t>
    </r>
    <r>
      <rPr>
        <sz val="10"/>
        <color rgb="FF000000"/>
        <rFont val="WenQuanYi Zen Hei"/>
        <family val="2"/>
      </rPr>
      <t xml:space="preserve">の円転タイミング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為替予約・外貨預金の活用可否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</si>
  <si>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3"/>
        <color rgb="FF000000"/>
        <rFont val="WenQuanYi Zen Hei"/>
        <family val="2"/>
      </rPr>
      <t xml:space="preserve">実績データ</t>
    </r>
    <r>
      <rPr>
        <b val="true"/>
        <sz val="13"/>
        <color rgb="FF000000"/>
        <rFont val="Arial"/>
        <family val="0"/>
        <charset val="1"/>
      </rPr>
      <t xml:space="preserve">(</t>
    </r>
    <r>
      <rPr>
        <b val="true"/>
        <sz val="13"/>
        <color rgb="FF000000"/>
        <rFont val="WenQuanYi Zen Hei"/>
        <family val="2"/>
      </rPr>
      <t xml:space="preserve">旭土地建物 令和</t>
    </r>
    <r>
      <rPr>
        <b val="true"/>
        <sz val="13"/>
        <color rgb="FF000000"/>
        <rFont val="Arial"/>
        <family val="0"/>
        <charset val="1"/>
      </rPr>
      <t xml:space="preserve">8</t>
    </r>
    <r>
      <rPr>
        <b val="true"/>
        <sz val="13"/>
        <color rgb="FF000000"/>
        <rFont val="WenQuanYi Zen Hei"/>
        <family val="2"/>
      </rPr>
      <t xml:space="preserve">年</t>
    </r>
    <r>
      <rPr>
        <b val="true"/>
        <sz val="13"/>
        <color rgb="FF000000"/>
        <rFont val="Arial"/>
        <family val="0"/>
        <charset val="1"/>
      </rPr>
      <t xml:space="preserve">9</t>
    </r>
    <r>
      <rPr>
        <b val="true"/>
        <sz val="13"/>
        <color rgb="FF000000"/>
        <rFont val="WenQuanYi Zen Hei"/>
        <family val="2"/>
      </rPr>
      <t xml:space="preserve">月期 </t>
    </r>
    <r>
      <rPr>
        <b val="true"/>
        <sz val="13"/>
        <color rgb="FF000000"/>
        <rFont val="Arial"/>
        <family val="0"/>
        <charset val="1"/>
      </rPr>
      <t xml:space="preserve">= </t>
    </r>
    <r>
      <rPr>
        <b val="true"/>
        <sz val="13"/>
        <color rgb="FF000000"/>
        <rFont val="WenQuanYi Zen Hei"/>
        <family val="2"/>
      </rPr>
      <t xml:space="preserve">令和</t>
    </r>
    <r>
      <rPr>
        <b val="true"/>
        <sz val="13"/>
        <color rgb="FF000000"/>
        <rFont val="Arial"/>
        <family val="0"/>
        <charset val="1"/>
      </rPr>
      <t xml:space="preserve">7</t>
    </r>
    <r>
      <rPr>
        <b val="true"/>
        <sz val="13"/>
        <color rgb="FF000000"/>
        <rFont val="WenQuanYi Zen Hei"/>
        <family val="2"/>
      </rPr>
      <t xml:space="preserve">年</t>
    </r>
    <r>
      <rPr>
        <b val="true"/>
        <sz val="13"/>
        <color rgb="FF000000"/>
        <rFont val="Arial"/>
        <family val="0"/>
        <charset val="1"/>
      </rPr>
      <t xml:space="preserve">10</t>
    </r>
    <r>
      <rPr>
        <b val="true"/>
        <sz val="13"/>
        <color rgb="FF000000"/>
        <rFont val="WenQuanYi Zen Hei"/>
        <family val="2"/>
      </rPr>
      <t xml:space="preserve">月〜令和</t>
    </r>
    <r>
      <rPr>
        <b val="true"/>
        <sz val="13"/>
        <color rgb="FF000000"/>
        <rFont val="Arial"/>
        <family val="0"/>
        <charset val="1"/>
      </rPr>
      <t xml:space="preserve">8</t>
    </r>
    <r>
      <rPr>
        <b val="true"/>
        <sz val="13"/>
        <color rgb="FF000000"/>
        <rFont val="WenQuanYi Zen Hei"/>
        <family val="2"/>
      </rPr>
      <t xml:space="preserve">年</t>
    </r>
    <r>
      <rPr>
        <b val="true"/>
        <sz val="13"/>
        <color rgb="FF000000"/>
        <rFont val="Arial"/>
        <family val="0"/>
        <charset val="1"/>
      </rPr>
      <t xml:space="preserve">9</t>
    </r>
    <r>
      <rPr>
        <b val="true"/>
        <sz val="13"/>
        <color rgb="FF000000"/>
        <rFont val="WenQuanYi Zen Hei"/>
        <family val="2"/>
      </rPr>
      <t xml:space="preserve">月</t>
    </r>
    <r>
      <rPr>
        <b val="true"/>
        <sz val="13"/>
        <color rgb="FF000000"/>
        <rFont val="Arial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</si>
  <si>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出典</t>
    </r>
    <r>
      <rPr>
        <i val="true"/>
        <sz val="10"/>
        <color rgb="FF595959"/>
        <rFont val="Arial"/>
        <family val="0"/>
        <charset val="1"/>
      </rPr>
      <t xml:space="preserve">: TKC</t>
    </r>
    <r>
      <rPr>
        <i val="true"/>
        <sz val="10"/>
        <color rgb="FF595959"/>
        <rFont val="WenQuanYi Zen Hei"/>
        <family val="2"/>
      </rPr>
      <t xml:space="preserve">勘定科目残高推移表</t>
    </r>
    <r>
      <rPr>
        <i val="true"/>
        <sz val="10"/>
        <color rgb="FF595959"/>
        <rFont val="Arial"/>
        <family val="0"/>
        <charset val="1"/>
      </rPr>
      <t xml:space="preserve">(2026/10/27</t>
    </r>
    <r>
      <rPr>
        <i val="true"/>
        <sz val="10"/>
        <color rgb="FF595959"/>
        <rFont val="WenQuanYi Zen Hei"/>
        <family val="2"/>
      </rPr>
      <t xml:space="preserve">出力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。決算月は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月、累計残高は</t>
    </r>
    <r>
      <rPr>
        <i val="true"/>
        <sz val="10"/>
        <color rgb="FF595959"/>
        <rFont val="Arial"/>
        <family val="0"/>
        <charset val="1"/>
      </rPr>
      <t xml:space="preserve">10</t>
    </r>
    <r>
      <rPr>
        <i val="true"/>
        <sz val="10"/>
        <color rgb="FF595959"/>
        <rFont val="WenQuanYi Zen Hei"/>
        <family val="2"/>
      </rPr>
      <t xml:space="preserve">月起算。青字</t>
    </r>
    <r>
      <rPr>
        <i val="true"/>
        <sz val="10"/>
        <color rgb="FF595959"/>
        <rFont val="Arial"/>
        <family val="0"/>
        <charset val="1"/>
      </rPr>
      <t xml:space="preserve">=PDF</t>
    </r>
    <r>
      <rPr>
        <i val="true"/>
        <sz val="10"/>
        <color rgb="FF595959"/>
        <rFont val="WenQuanYi Zen Hei"/>
        <family val="2"/>
      </rPr>
      <t xml:space="preserve">転記の累計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円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、黒字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月次への換算。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</si>
  <si>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月累計</t>
    </r>
  </si>
  <si>
    <r>
      <rPr>
        <b val="true"/>
        <sz val="10"/>
        <color rgb="FFFFFFFF"/>
        <rFont val="Arial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月累計</t>
    </r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</si>
  <si>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月累計</t>
    </r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</si>
  <si>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月累計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</si>
  <si>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月累計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</si>
  <si>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月累計</t>
    </r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</si>
  <si>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月累計</t>
    </r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</si>
  <si>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月累計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</si>
  <si>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月累計</t>
    </r>
  </si>
  <si>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月累計</t>
    </r>
  </si>
  <si>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月累計</t>
    </r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</si>
  <si>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月累計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</si>
  <si>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</si>
  <si>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</si>
  <si>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</si>
  <si>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</si>
  <si>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</si>
  <si>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</si>
  <si>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</si>
  <si>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</si>
  <si>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</si>
  <si>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</si>
  <si>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</si>
  <si>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月次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</si>
  <si>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不動産賃貸売上高</t>
  </si>
  <si>
    <r>
      <rPr>
        <sz val="10"/>
        <color rgb="FF000000"/>
        <rFont val="WenQuanYi Zen Hei"/>
        <family val="2"/>
      </rPr>
      <t xml:space="preserve">その他売上高</t>
    </r>
    <r>
      <rPr>
        <sz val="10"/>
        <color rgb="FF000000"/>
        <rFont val="Arial"/>
        <family val="0"/>
        <charset val="1"/>
      </rPr>
      <t xml:space="preserve">(4114)</t>
    </r>
  </si>
  <si>
    <t xml:space="preserve">土地売上高</t>
  </si>
  <si>
    <r>
      <rPr>
        <sz val="10"/>
        <color rgb="FF000000"/>
        <rFont val="WenQuanYi Zen Hei"/>
        <family val="2"/>
      </rPr>
      <t xml:space="preserve">減価償却費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非資金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</si>
  <si>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販売費及び一般管理費</t>
    </r>
    <r>
      <rPr>
        <sz val="10"/>
        <color rgb="FF000000"/>
        <rFont val="Arial"/>
        <family val="0"/>
        <charset val="1"/>
      </rPr>
      <t xml:space="preserve">(PDF</t>
    </r>
    <r>
      <rPr>
        <sz val="10"/>
        <color rgb="FF000000"/>
        <rFont val="WenQuanYi Zen Hei"/>
        <family val="2"/>
      </rPr>
      <t xml:space="preserve">合計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</si>
  <si>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10"/>
        <color rgb="FF000000"/>
        <rFont val="WenQuanYi Zen Hei"/>
        <family val="2"/>
      </rPr>
      <t xml:space="preserve">検算</t>
    </r>
    <r>
      <rPr>
        <i val="true"/>
        <sz val="10"/>
        <color rgb="FF000000"/>
        <rFont val="Arial"/>
        <family val="0"/>
        <charset val="1"/>
      </rPr>
      <t xml:space="preserve">(</t>
    </r>
    <r>
      <rPr>
        <i val="true"/>
        <sz val="10"/>
        <color rgb="FF000000"/>
        <rFont val="WenQuanYi Zen Hei"/>
        <family val="2"/>
      </rPr>
      <t xml:space="preserve">科目合計−</t>
    </r>
    <r>
      <rPr>
        <i val="true"/>
        <sz val="10"/>
        <color rgb="FF000000"/>
        <rFont val="Arial"/>
        <family val="0"/>
        <charset val="1"/>
      </rPr>
      <t xml:space="preserve">PDF</t>
    </r>
    <r>
      <rPr>
        <i val="true"/>
        <sz val="10"/>
        <color rgb="FF000000"/>
        <rFont val="WenQuanYi Zen Hei"/>
        <family val="2"/>
      </rPr>
      <t xml:space="preserve">合計 ※</t>
    </r>
    <r>
      <rPr>
        <i val="true"/>
        <sz val="10"/>
        <color rgb="FF000000"/>
        <rFont val="Arial"/>
        <family val="0"/>
        <charset val="1"/>
      </rPr>
      <t xml:space="preserve">0</t>
    </r>
    <r>
      <rPr>
        <i val="true"/>
        <sz val="10"/>
        <color rgb="FF000000"/>
        <rFont val="WenQuanYi Zen Hei"/>
        <family val="2"/>
      </rPr>
      <t xml:space="preserve">であること</t>
    </r>
    <r>
      <rPr>
        <i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</si>
  <si>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000000"/>
        <rFont val="WenQuanYi Zen Hei"/>
        <family val="2"/>
      </rPr>
      <t xml:space="preserve">期別の月次推移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WenQuanYi Zen Hei"/>
        <family val="2"/>
      </rPr>
      <t xml:space="preserve">令和</t>
    </r>
    <r>
      <rPr>
        <b val="true"/>
        <sz val="11"/>
        <color rgb="FF000000"/>
        <rFont val="Arial"/>
        <family val="0"/>
        <charset val="1"/>
      </rPr>
      <t xml:space="preserve">5</t>
    </r>
    <r>
      <rPr>
        <b val="true"/>
        <sz val="11"/>
        <color rgb="FF000000"/>
        <rFont val="WenQuanYi Zen Hei"/>
        <family val="2"/>
      </rPr>
      <t xml:space="preserve">〜</t>
    </r>
    <r>
      <rPr>
        <b val="true"/>
        <sz val="11"/>
        <color rgb="FF000000"/>
        <rFont val="Arial"/>
        <family val="0"/>
        <charset val="1"/>
      </rPr>
      <t xml:space="preserve">8</t>
    </r>
    <r>
      <rPr>
        <b val="true"/>
        <sz val="11"/>
        <color rgb="FF000000"/>
        <rFont val="WenQuanYi Zen Hei"/>
        <family val="2"/>
      </rPr>
      <t xml:space="preserve">年</t>
    </r>
    <r>
      <rPr>
        <b val="true"/>
        <sz val="11"/>
        <color rgb="FF000000"/>
        <rFont val="Arial"/>
        <family val="0"/>
        <charset val="1"/>
      </rPr>
      <t xml:space="preserve">9</t>
    </r>
    <r>
      <rPr>
        <b val="true"/>
        <sz val="11"/>
        <color rgb="FF000000"/>
        <rFont val="WenQuanYi Zen Hei"/>
        <family val="2"/>
      </rPr>
      <t xml:space="preserve">月期・</t>
    </r>
    <r>
      <rPr>
        <b val="true"/>
        <sz val="11"/>
        <color rgb="FF000000"/>
        <rFont val="Arial"/>
        <family val="0"/>
        <charset val="1"/>
      </rPr>
      <t xml:space="preserve">10</t>
    </r>
    <r>
      <rPr>
        <b val="true"/>
        <sz val="11"/>
        <color rgb="FF000000"/>
        <rFont val="WenQuanYi Zen Hei"/>
        <family val="2"/>
      </rPr>
      <t xml:space="preserve">月〜</t>
    </r>
    <r>
      <rPr>
        <b val="true"/>
        <sz val="11"/>
        <color rgb="FF000000"/>
        <rFont val="Arial"/>
        <family val="0"/>
        <charset val="1"/>
      </rPr>
      <t xml:space="preserve">9</t>
    </r>
    <r>
      <rPr>
        <b val="true"/>
        <sz val="11"/>
        <color rgb="FF000000"/>
        <rFont val="WenQuanYi Zen Hei"/>
        <family val="2"/>
      </rPr>
      <t xml:space="preserve">月</t>
    </r>
    <r>
      <rPr>
        <b val="true"/>
        <sz val="11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</si>
  <si>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現預金 月末残高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円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</si>
  <si>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月期</t>
    </r>
  </si>
  <si>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月期</t>
    </r>
  </si>
  <si>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月期</t>
    </r>
  </si>
  <si>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月期</t>
    </r>
  </si>
  <si>
    <r>
      <rPr>
        <b val="true"/>
        <sz val="10"/>
        <color rgb="FF000000"/>
        <rFont val="WenQuanYi Zen Hei"/>
        <family val="2"/>
      </rPr>
      <t xml:space="preserve">賃貸売上 月次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円・累計の差分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</si>
  <si>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販売費及び一般管理費 月次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円・累計の差分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</si>
  <si>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i val="true"/>
        <sz val="10"/>
        <color rgb="FF595959"/>
        <rFont val="Arial"/>
        <family val="0"/>
        <charset val="1"/>
      </rPr>
      <t xml:space="preserve">※9</t>
    </r>
    <r>
      <rPr>
        <i val="true"/>
        <sz val="10"/>
        <color rgb="FF595959"/>
        <rFont val="WenQuanYi Zen Hei"/>
        <family val="2"/>
      </rPr>
      <t xml:space="preserve">月は決算整理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棚卸・保険の資産計上・未払計上など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を含みます。令和</t>
    </r>
    <r>
      <rPr>
        <i val="true"/>
        <sz val="10"/>
        <color rgb="FF595959"/>
        <rFont val="Arial"/>
        <family val="0"/>
        <charset val="1"/>
      </rPr>
      <t xml:space="preserve">5</t>
    </r>
    <r>
      <rPr>
        <i val="true"/>
        <sz val="10"/>
        <color rgb="FF595959"/>
        <rFont val="WenQuanYi Zen Hei"/>
        <family val="2"/>
      </rPr>
      <t xml:space="preserve">・</t>
    </r>
    <r>
      <rPr>
        <i val="true"/>
        <sz val="10"/>
        <color rgb="FF595959"/>
        <rFont val="Arial"/>
        <family val="0"/>
        <charset val="1"/>
      </rPr>
      <t xml:space="preserve">6</t>
    </r>
    <r>
      <rPr>
        <i val="true"/>
        <sz val="10"/>
        <color rgb="FF595959"/>
        <rFont val="WenQuanYi Zen Hei"/>
        <family val="2"/>
      </rPr>
      <t xml:space="preserve">年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月期の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月の販管費がマイナスなのは決算整理による戻しです。</t>
    </r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</si>
</sst>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,;\(#,##0,\);\-"/>
    <numFmt numFmtId="166" formatCode="yyyy/m"/>
    <numFmt numFmtId="167" formatCode="0.0&quot;か月&quot;"/>
    <numFmt numFmtId="168" formatCode="0.0%"/>
    <numFmt numFmtId="169" formatCode="0.0"/>
    <numFmt numFmtId="170" formatCode="#,##0,"/>
    <numFmt numFmtId="171" formatCode="#,##0;\(#,##0\);\-"/>
    <numFmt numFmtId="172" formatCode="0"/>
    <numFmt numFmtId="173" formatCode="#,##0"/>
    <numFmt numFmtId="174" formatCode="0.00"/>
    <numFmt numFmtId="175" formatCode="0.000%"/>
    <numFmt numFmtId="176" formatCode="0%;\-0%;\-"/>
    <numFmt numFmtId="177" formatCode="yyyy/m/d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WenQuanYi Zen Hei"/>
      <family val="2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WenQuanYi Zen Hei"/>
      <family val="2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WenQuanYi Zen Hei"/>
      <family val="2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WenQuanYi Zen Hei"/>
      <family val="2"/>
    </font>
    <font>
      <sz val="10"/>
      <color rgb="FF000000"/>
      <name val="WenQuanYi Zen Hei"/>
      <family val="2"/>
    </font>
    <font>
      <sz val="10"/>
      <color rgb="FF008000"/>
      <name val="Arial"/>
      <family val="0"/>
      <charset val="1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000000"/>
      <name val="WenQuanYi Zen Hei"/>
      <family val="2"/>
    </font>
    <font>
      <b val="true"/>
      <sz val="13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595959"/>
      <name val="WenQuanYi Zen Hei"/>
      <family val="2"/>
    </font>
    <font>
      <b val="true"/>
      <sz val="10"/>
      <color rgb="FFFFFFFF"/>
      <name val="Arial"/>
      <family val="0"/>
      <charset val="1"/>
    </font>
    <font>
      <sz val="8"/>
      <color rgb="FF595959"/>
      <name val="WenQuanYi Zen Hei"/>
      <family val="2"/>
    </font>
    <font>
      <b val="true"/>
      <sz val="11"/>
      <color rgb="FF000000"/>
      <name val="WenQuanYi Zen Hei"/>
      <family val="2"/>
    </font>
    <font>
      <b val="true"/>
      <sz val="11"/>
      <color rgb="FF000000"/>
      <name val="Arial"/>
      <family val="0"/>
      <charset val="1"/>
    </font>
    <font>
      <sz val="10"/>
      <color rgb="FF0000FF"/>
      <name val="WenQuanYi Zen Hei"/>
      <family val="2"/>
    </font>
    <font>
      <i val="true"/>
      <sz val="10"/>
      <color rgb="FF000000"/>
      <name val="WenQuanYi Zen Hei"/>
      <family val="2"/>
    </font>
    <font>
      <i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FFFF99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2F2F2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現預金残高の推移(千円)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サマリー!G5</c:f>
              <c:strCache>
                <c:ptCount val="1"/>
                <c:pt idx="0">
                  <c:v>社債なし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サマリー!$F$6:$F$17</c:f>
              <c:strCache>
                <c:ptCount val="12"/>
                <c:pt idx="0">
                  <c:v>2026/10</c:v>
                </c:pt>
                <c:pt idx="1">
                  <c:v>2026/11</c:v>
                </c:pt>
                <c:pt idx="2">
                  <c:v>2026/12</c:v>
                </c:pt>
                <c:pt idx="3">
                  <c:v>2027/1</c:v>
                </c:pt>
                <c:pt idx="4">
                  <c:v>2027/2</c:v>
                </c:pt>
                <c:pt idx="5">
                  <c:v>2027/3</c:v>
                </c:pt>
                <c:pt idx="6">
                  <c:v>2027/4</c:v>
                </c:pt>
                <c:pt idx="7">
                  <c:v>2027/5</c:v>
                </c:pt>
                <c:pt idx="8">
                  <c:v>2027/6</c:v>
                </c:pt>
                <c:pt idx="9">
                  <c:v>2027/7</c:v>
                </c:pt>
                <c:pt idx="10">
                  <c:v>2027/8</c:v>
                </c:pt>
                <c:pt idx="11">
                  <c:v>2027/9</c:v>
                </c:pt>
              </c:strCache>
            </c:strRef>
          </c:cat>
          <c:val>
            <c:numRef>
              <c:f>サマリー!$G$6:$G$17</c:f>
              <c:numCache>
                <c:formatCode>#,##0,;\(#,##0,\);\-</c:formatCode>
                <c:ptCount val="12"/>
                <c:pt idx="0">
                  <c:v>207423442</c:v>
                </c:pt>
                <c:pt idx="1">
                  <c:v>204098045</c:v>
                </c:pt>
                <c:pt idx="2">
                  <c:v>201516131</c:v>
                </c:pt>
                <c:pt idx="3">
                  <c:v>200590744</c:v>
                </c:pt>
                <c:pt idx="4">
                  <c:v>199898670</c:v>
                </c:pt>
                <c:pt idx="5">
                  <c:v>199042032</c:v>
                </c:pt>
                <c:pt idx="6">
                  <c:v>193180908</c:v>
                </c:pt>
                <c:pt idx="7">
                  <c:v>191157532</c:v>
                </c:pt>
                <c:pt idx="8">
                  <c:v>178662178</c:v>
                </c:pt>
                <c:pt idx="9">
                  <c:v>176003236</c:v>
                </c:pt>
                <c:pt idx="10">
                  <c:v>175654381</c:v>
                </c:pt>
                <c:pt idx="11">
                  <c:v>164232073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サマリー!H5</c:f>
              <c:strCache>
                <c:ptCount val="1"/>
                <c:pt idx="0">
                  <c:v>社債あり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サマリー!$F$6:$F$17</c:f>
              <c:strCache>
                <c:ptCount val="12"/>
                <c:pt idx="0">
                  <c:v>2026/10</c:v>
                </c:pt>
                <c:pt idx="1">
                  <c:v>2026/11</c:v>
                </c:pt>
                <c:pt idx="2">
                  <c:v>2026/12</c:v>
                </c:pt>
                <c:pt idx="3">
                  <c:v>2027/1</c:v>
                </c:pt>
                <c:pt idx="4">
                  <c:v>2027/2</c:v>
                </c:pt>
                <c:pt idx="5">
                  <c:v>2027/3</c:v>
                </c:pt>
                <c:pt idx="6">
                  <c:v>2027/4</c:v>
                </c:pt>
                <c:pt idx="7">
                  <c:v>2027/5</c:v>
                </c:pt>
                <c:pt idx="8">
                  <c:v>2027/6</c:v>
                </c:pt>
                <c:pt idx="9">
                  <c:v>2027/7</c:v>
                </c:pt>
                <c:pt idx="10">
                  <c:v>2027/8</c:v>
                </c:pt>
                <c:pt idx="11">
                  <c:v>2027/9</c:v>
                </c:pt>
              </c:strCache>
            </c:strRef>
          </c:cat>
          <c:val>
            <c:numRef>
              <c:f>サマリー!$H$6:$H$17</c:f>
              <c:numCache>
                <c:formatCode>#,##0,;\(#,##0,\);\-</c:formatCode>
                <c:ptCount val="12"/>
                <c:pt idx="0">
                  <c:v>207423442</c:v>
                </c:pt>
                <c:pt idx="1">
                  <c:v>164473045</c:v>
                </c:pt>
                <c:pt idx="2">
                  <c:v>161891131</c:v>
                </c:pt>
                <c:pt idx="3">
                  <c:v>160965744</c:v>
                </c:pt>
                <c:pt idx="4">
                  <c:v>160273670</c:v>
                </c:pt>
                <c:pt idx="5">
                  <c:v>159417032</c:v>
                </c:pt>
                <c:pt idx="6">
                  <c:v>153555908</c:v>
                </c:pt>
                <c:pt idx="7">
                  <c:v>152703302.125</c:v>
                </c:pt>
                <c:pt idx="8">
                  <c:v>140207948.125</c:v>
                </c:pt>
                <c:pt idx="9">
                  <c:v>137549006.125</c:v>
                </c:pt>
                <c:pt idx="10">
                  <c:v>137200151.125</c:v>
                </c:pt>
                <c:pt idx="11">
                  <c:v>125777843.125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8601595"/>
        <c:axId val="90928360"/>
      </c:lineChart>
      <c:catAx>
        <c:axId val="58601595"/>
        <c:scaling>
          <c:orientation val="minMax"/>
        </c:scaling>
        <c:delete val="0"/>
        <c:axPos val="b"/>
        <c:numFmt formatCode="yyyy/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928360"/>
        <c:crosses val="autoZero"/>
        <c:auto val="1"/>
        <c:lblAlgn val="ctr"/>
        <c:lblOffset val="100"/>
        <c:noMultiLvlLbl val="0"/>
      </c:catAx>
      <c:valAx>
        <c:axId val="909283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6015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28</xdr:row>
      <xdr:rowOff>134640</xdr:rowOff>
    </xdr:from>
    <xdr:to>
      <xdr:col>5</xdr:col>
      <xdr:colOff>65520</xdr:colOff>
      <xdr:row>43</xdr:row>
      <xdr:rowOff>156600</xdr:rowOff>
    </xdr:to>
    <xdr:graphicFrame>
      <xdr:nvGraphicFramePr>
        <xdr:cNvPr id="0" name="Chart 1"/>
        <xdr:cNvGraphicFramePr/>
      </xdr:nvGraphicFramePr>
      <xdr:xfrm>
        <a:off x="0" y="86486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  <col collapsed="false" customWidth="true" hidden="false" outlineLevel="0" max="5" min="5" style="0" width="3"/>
    <col collapsed="false" customWidth="true" hidden="false" outlineLevel="0" max="6" min="6" style="0" width="1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F4" s="5" t="s">
        <v>3</v>
      </c>
    </row>
    <row r="5" customFormat="false" ht="15" hidden="false" customHeight="false" outlineLevel="0" collapsed="false">
      <c r="A5" s="6"/>
      <c r="B5" s="7" t="s">
        <v>4</v>
      </c>
      <c r="C5" s="7" t="s">
        <v>5</v>
      </c>
      <c r="D5" s="7" t="s">
        <v>6</v>
      </c>
      <c r="F5" s="5" t="s">
        <v>7</v>
      </c>
      <c r="G5" s="5" t="s">
        <v>4</v>
      </c>
      <c r="H5" s="5" t="s">
        <v>5</v>
      </c>
    </row>
    <row r="6" customFormat="false" ht="15" hidden="false" customHeight="false" outlineLevel="0" collapsed="false">
      <c r="A6" s="8" t="s">
        <v>8</v>
      </c>
      <c r="B6" s="9" t="n">
        <f aca="false">資金繰り表!C6</f>
        <v>207939447</v>
      </c>
      <c r="C6" s="9" t="n">
        <f aca="false">資金繰り表!C6</f>
        <v>207939447</v>
      </c>
      <c r="D6" s="10" t="n">
        <f aca="false">C6-B6</f>
        <v>0</v>
      </c>
      <c r="F6" s="11" t="n">
        <f aca="false">資金繰り表!C4</f>
        <v>46296</v>
      </c>
      <c r="G6" s="9" t="n">
        <f aca="false">資金繰り表!C29</f>
        <v>207423442</v>
      </c>
      <c r="H6" s="9" t="n">
        <f aca="false">資金繰り表!C37</f>
        <v>207423442</v>
      </c>
    </row>
    <row r="7" customFormat="false" ht="15" hidden="false" customHeight="false" outlineLevel="0" collapsed="false">
      <c r="A7" s="8" t="s">
        <v>9</v>
      </c>
      <c r="B7" s="9" t="n">
        <f aca="false">資金繰り表!O13</f>
        <v>45603228</v>
      </c>
      <c r="C7" s="9" t="n">
        <f aca="false">資金繰り表!O13+資金繰り表!O33</f>
        <v>46773998.125</v>
      </c>
      <c r="D7" s="10" t="n">
        <f aca="false">C7-B7</f>
        <v>1170770.125</v>
      </c>
      <c r="F7" s="11" t="n">
        <f aca="false">資金繰り表!D4</f>
        <v>46327</v>
      </c>
      <c r="G7" s="9" t="n">
        <f aca="false">資金繰り表!D29</f>
        <v>204098045</v>
      </c>
      <c r="H7" s="9" t="n">
        <f aca="false">資金繰り表!D37</f>
        <v>164473045</v>
      </c>
    </row>
    <row r="8" customFormat="false" ht="15" hidden="false" customHeight="false" outlineLevel="0" collapsed="false">
      <c r="A8" s="8" t="s">
        <v>10</v>
      </c>
      <c r="B8" s="9" t="n">
        <f aca="false">資金繰り表!O26</f>
        <v>89310602</v>
      </c>
      <c r="C8" s="9" t="n">
        <f aca="false">資金繰り表!O26-資金繰り表!O32-資金繰り表!O34</f>
        <v>128935602</v>
      </c>
      <c r="D8" s="10" t="n">
        <f aca="false">C8-B8</f>
        <v>39625000</v>
      </c>
      <c r="F8" s="11" t="n">
        <f aca="false">資金繰り表!E4</f>
        <v>46357</v>
      </c>
      <c r="G8" s="9" t="n">
        <f aca="false">資金繰り表!E29</f>
        <v>201516131</v>
      </c>
      <c r="H8" s="9" t="n">
        <f aca="false">資金繰り表!E37</f>
        <v>161891131</v>
      </c>
    </row>
    <row r="9" customFormat="false" ht="15" hidden="false" customHeight="false" outlineLevel="0" collapsed="false">
      <c r="A9" s="8" t="s">
        <v>11</v>
      </c>
      <c r="B9" s="9" t="n">
        <f aca="false">資金繰り表!O27</f>
        <v>-43707374</v>
      </c>
      <c r="C9" s="9" t="n">
        <f aca="false">資金繰り表!O27+資金繰り表!O35</f>
        <v>-82161603.875</v>
      </c>
      <c r="D9" s="10" t="n">
        <f aca="false">C9-B9</f>
        <v>-38454229.875</v>
      </c>
      <c r="F9" s="11" t="n">
        <f aca="false">資金繰り表!F4</f>
        <v>46388</v>
      </c>
      <c r="G9" s="9" t="n">
        <f aca="false">資金繰り表!F29</f>
        <v>200590744</v>
      </c>
      <c r="H9" s="9" t="n">
        <f aca="false">資金繰り表!F37</f>
        <v>160965744</v>
      </c>
    </row>
    <row r="10" customFormat="false" ht="15" hidden="false" customHeight="false" outlineLevel="0" collapsed="false">
      <c r="A10" s="8" t="s">
        <v>12</v>
      </c>
      <c r="B10" s="9" t="n">
        <f aca="false">資金繰り表!O29</f>
        <v>164232073</v>
      </c>
      <c r="C10" s="9" t="n">
        <f aca="false">資金繰り表!O37</f>
        <v>125777843.125</v>
      </c>
      <c r="D10" s="10" t="n">
        <f aca="false">C10-B10</f>
        <v>-38454229.875</v>
      </c>
      <c r="F10" s="11" t="n">
        <f aca="false">資金繰り表!G4</f>
        <v>46419</v>
      </c>
      <c r="G10" s="9" t="n">
        <f aca="false">資金繰り表!G29</f>
        <v>199898670</v>
      </c>
      <c r="H10" s="9" t="n">
        <f aca="false">資金繰り表!G37</f>
        <v>160273670</v>
      </c>
    </row>
    <row r="11" customFormat="false" ht="15" hidden="false" customHeight="false" outlineLevel="0" collapsed="false">
      <c r="A11" s="8" t="s">
        <v>13</v>
      </c>
      <c r="B11" s="9" t="n">
        <f aca="false">MIN(資金繰り表!C29,資金繰り表!D29,資金繰り表!E29,資金繰り表!F29,資金繰り表!G29,資金繰り表!H29,資金繰り表!I29,資金繰り表!J29,資金繰り表!K29,資金繰り表!L29,資金繰り表!M29,資金繰り表!N29)</f>
        <v>164232073</v>
      </c>
      <c r="C11" s="9" t="n">
        <f aca="false">MIN(資金繰り表!C37,資金繰り表!D37,資金繰り表!E37,資金繰り表!F37,資金繰り表!G37,資金繰り表!H37,資金繰り表!I37,資金繰り表!J37,資金繰り表!K37,資金繰り表!L37,資金繰り表!M37,資金繰り表!N37)</f>
        <v>125777843.125</v>
      </c>
      <c r="D11" s="10" t="n">
        <f aca="false">C11-B11</f>
        <v>-38454229.875</v>
      </c>
      <c r="F11" s="11" t="n">
        <f aca="false">資金繰り表!H4</f>
        <v>46447</v>
      </c>
      <c r="G11" s="9" t="n">
        <f aca="false">資金繰り表!H29</f>
        <v>199042032</v>
      </c>
      <c r="H11" s="9" t="n">
        <f aca="false">資金繰り表!H37</f>
        <v>159417032</v>
      </c>
    </row>
    <row r="12" customFormat="false" ht="15" hidden="false" customHeight="false" outlineLevel="0" collapsed="false">
      <c r="A12" s="8" t="s">
        <v>14</v>
      </c>
      <c r="B12" s="9" t="n">
        <f aca="false">資金繰り表!O26/12</f>
        <v>7442550.16666667</v>
      </c>
      <c r="C12" s="9" t="n">
        <f aca="false">資金繰り表!O26/12</f>
        <v>7442550.16666667</v>
      </c>
      <c r="D12" s="10" t="n">
        <f aca="false">C12-B12</f>
        <v>0</v>
      </c>
      <c r="F12" s="11" t="n">
        <f aca="false">資金繰り表!I4</f>
        <v>46478</v>
      </c>
      <c r="G12" s="9" t="n">
        <f aca="false">資金繰り表!I29</f>
        <v>193180908</v>
      </c>
      <c r="H12" s="9" t="n">
        <f aca="false">資金繰り表!I37</f>
        <v>153555908</v>
      </c>
    </row>
    <row r="13" customFormat="false" ht="15" hidden="false" customHeight="false" outlineLevel="0" collapsed="false">
      <c r="A13" s="8" t="s">
        <v>15</v>
      </c>
      <c r="B13" s="12" t="n">
        <f aca="false">B10/B12</f>
        <v>22.0666397030892</v>
      </c>
      <c r="C13" s="12" t="n">
        <f aca="false">C10/C12</f>
        <v>16.8998314164314</v>
      </c>
      <c r="D13" s="13" t="n">
        <f aca="false">C13-B13</f>
        <v>-5.16680828665784</v>
      </c>
      <c r="F13" s="11" t="n">
        <f aca="false">資金繰り表!J4</f>
        <v>46508</v>
      </c>
      <c r="G13" s="9" t="n">
        <f aca="false">資金繰り表!J29</f>
        <v>191157532</v>
      </c>
      <c r="H13" s="9" t="n">
        <f aca="false">資金繰り表!J37</f>
        <v>152703302.125</v>
      </c>
    </row>
    <row r="14" customFormat="false" ht="15" hidden="false" customHeight="false" outlineLevel="0" collapsed="false">
      <c r="A14" s="8" t="s">
        <v>16</v>
      </c>
      <c r="C14" s="9" t="n">
        <f aca="false">社債検討!B8</f>
        <v>2341540.25</v>
      </c>
      <c r="F14" s="11" t="n">
        <f aca="false">資金繰り表!K4</f>
        <v>46539</v>
      </c>
      <c r="G14" s="9" t="n">
        <f aca="false">資金繰り表!K29</f>
        <v>178662178</v>
      </c>
      <c r="H14" s="9" t="n">
        <f aca="false">資金繰り表!K37</f>
        <v>140207948.125</v>
      </c>
    </row>
    <row r="15" customFormat="false" ht="15" hidden="false" customHeight="false" outlineLevel="0" collapsed="false">
      <c r="A15" s="8" t="s">
        <v>17</v>
      </c>
      <c r="C15" s="14" t="n">
        <f aca="false">社債検討!B10</f>
        <v>0.0590924984227129</v>
      </c>
      <c r="F15" s="11" t="n">
        <f aca="false">資金繰り表!L4</f>
        <v>46569</v>
      </c>
      <c r="G15" s="9" t="n">
        <f aca="false">資金繰り表!L29</f>
        <v>176003236</v>
      </c>
      <c r="H15" s="9" t="n">
        <f aca="false">資金繰り表!L37</f>
        <v>137549006.125</v>
      </c>
    </row>
    <row r="16" customFormat="false" ht="15" hidden="false" customHeight="false" outlineLevel="0" collapsed="false">
      <c r="A16" s="8" t="s">
        <v>18</v>
      </c>
      <c r="C16" s="15" t="n">
        <f aca="false">社債検討!B11</f>
        <v>130.401517</v>
      </c>
      <c r="F16" s="11" t="n">
        <f aca="false">資金繰り表!M4</f>
        <v>46600</v>
      </c>
      <c r="G16" s="9" t="n">
        <f aca="false">資金繰り表!M29</f>
        <v>175654381</v>
      </c>
      <c r="H16" s="9" t="n">
        <f aca="false">資金繰り表!M37</f>
        <v>137200151.125</v>
      </c>
    </row>
    <row r="17" customFormat="false" ht="15" hidden="false" customHeight="false" outlineLevel="0" collapsed="false">
      <c r="A17" s="8" t="s">
        <v>19</v>
      </c>
      <c r="B17" s="9" t="n">
        <f aca="false">実績!N38-実績!N37</f>
        <v>85519658</v>
      </c>
      <c r="F17" s="11" t="n">
        <f aca="false">資金繰り表!N4</f>
        <v>46631</v>
      </c>
      <c r="G17" s="9" t="n">
        <f aca="false">資金繰り表!N29</f>
        <v>164232073</v>
      </c>
      <c r="H17" s="9" t="n">
        <f aca="false">資金繰り表!N37</f>
        <v>125777843.125</v>
      </c>
    </row>
    <row r="19" customFormat="false" ht="15" hidden="false" customHeight="false" outlineLevel="0" collapsed="false">
      <c r="A19" s="3" t="s">
        <v>20</v>
      </c>
      <c r="B19" s="4"/>
      <c r="C19" s="4"/>
      <c r="D19" s="4"/>
    </row>
    <row r="20" customFormat="false" ht="45.75" hidden="false" customHeight="true" outlineLevel="0" collapsed="false">
      <c r="A20" s="16" t="s">
        <v>21</v>
      </c>
      <c r="B20" s="16"/>
      <c r="C20" s="16"/>
      <c r="D20" s="16"/>
    </row>
    <row r="21" customFormat="false" ht="45.75" hidden="false" customHeight="true" outlineLevel="0" collapsed="false">
      <c r="A21" s="16" t="s">
        <v>22</v>
      </c>
      <c r="B21" s="16"/>
      <c r="C21" s="16"/>
      <c r="D21" s="16"/>
    </row>
    <row r="22" customFormat="false" ht="45.75" hidden="false" customHeight="true" outlineLevel="0" collapsed="false">
      <c r="A22" s="16" t="s">
        <v>23</v>
      </c>
      <c r="B22" s="16"/>
      <c r="C22" s="16"/>
      <c r="D22" s="16"/>
    </row>
    <row r="23" customFormat="false" ht="45.75" hidden="false" customHeight="true" outlineLevel="0" collapsed="false">
      <c r="A23" s="16" t="s">
        <v>24</v>
      </c>
      <c r="B23" s="16"/>
      <c r="C23" s="16"/>
      <c r="D23" s="16"/>
    </row>
    <row r="24" customFormat="false" ht="45.75" hidden="false" customHeight="true" outlineLevel="0" collapsed="false">
      <c r="A24" s="16" t="s">
        <v>25</v>
      </c>
      <c r="B24" s="16"/>
      <c r="C24" s="16"/>
      <c r="D24" s="16"/>
    </row>
    <row r="25" customFormat="false" ht="45.75" hidden="false" customHeight="true" outlineLevel="0" collapsed="false">
      <c r="A25" s="16" t="s">
        <v>26</v>
      </c>
      <c r="B25" s="16"/>
      <c r="C25" s="16"/>
      <c r="D25" s="16"/>
    </row>
    <row r="26" customFormat="false" ht="45.75" hidden="false" customHeight="true" outlineLevel="0" collapsed="false">
      <c r="A26" s="16" t="s">
        <v>27</v>
      </c>
      <c r="B26" s="16"/>
      <c r="C26" s="16"/>
      <c r="D26" s="16"/>
    </row>
    <row r="27" customFormat="false" ht="45.75" hidden="false" customHeight="true" outlineLevel="0" collapsed="false">
      <c r="A27" s="16" t="s">
        <v>28</v>
      </c>
      <c r="B27" s="16"/>
      <c r="C27" s="16"/>
      <c r="D27" s="16"/>
    </row>
  </sheetData>
  <mergeCells count="8">
    <mergeCell ref="A20:D20"/>
    <mergeCell ref="A21:D21"/>
    <mergeCell ref="A22:D22"/>
    <mergeCell ref="A23:D23"/>
    <mergeCell ref="A24:D24"/>
    <mergeCell ref="A25:D25"/>
    <mergeCell ref="A26:D26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15" min="4" style="0" width="12"/>
  </cols>
  <sheetData>
    <row r="1" customFormat="false" ht="17.15" hidden="false" customHeight="false" outlineLevel="0" collapsed="false">
      <c r="A1" s="17" t="s">
        <v>29</v>
      </c>
    </row>
    <row r="2" customFormat="false" ht="15" hidden="false" customHeight="false" outlineLevel="0" collapsed="false">
      <c r="A2" s="2" t="s">
        <v>30</v>
      </c>
    </row>
    <row r="4" customFormat="false" ht="15" hidden="false" customHeight="false" outlineLevel="0" collapsed="false">
      <c r="A4" s="18" t="s">
        <v>31</v>
      </c>
      <c r="B4" s="4"/>
      <c r="C4" s="4"/>
    </row>
    <row r="5" customFormat="false" ht="15" hidden="false" customHeight="false" outlineLevel="0" collapsed="false">
      <c r="A5" s="8" t="s">
        <v>8</v>
      </c>
      <c r="B5" s="19" t="n">
        <v>207939447</v>
      </c>
      <c r="C5" s="20" t="s">
        <v>32</v>
      </c>
    </row>
    <row r="6" customFormat="false" ht="77.6" hidden="false" customHeight="false" outlineLevel="0" collapsed="false">
      <c r="A6" s="8" t="s">
        <v>33</v>
      </c>
      <c r="B6" s="21" t="n">
        <f aca="false">家賃明細!B17</f>
        <v>3800269</v>
      </c>
      <c r="C6" s="22" t="s">
        <v>34</v>
      </c>
    </row>
    <row r="7" customFormat="false" ht="15" hidden="false" customHeight="false" outlineLevel="0" collapsed="false">
      <c r="A7" s="8" t="s">
        <v>35</v>
      </c>
      <c r="B7" s="21" t="n">
        <f aca="false">家賃明細!B21</f>
        <v>4043200.75</v>
      </c>
      <c r="C7" s="23" t="s">
        <v>36</v>
      </c>
    </row>
    <row r="8" customFormat="false" ht="15" hidden="false" customHeight="false" outlineLevel="0" collapsed="false">
      <c r="A8" s="8" t="s">
        <v>37</v>
      </c>
      <c r="B8" s="21" t="n">
        <f aca="false">実績!N8</f>
        <v>110288898</v>
      </c>
      <c r="C8" s="23" t="s">
        <v>38</v>
      </c>
    </row>
    <row r="9" customFormat="false" ht="15" hidden="false" customHeight="false" outlineLevel="0" collapsed="false">
      <c r="A9" s="8" t="s">
        <v>39</v>
      </c>
      <c r="B9" s="24" t="n">
        <v>1</v>
      </c>
      <c r="C9" s="20" t="s">
        <v>40</v>
      </c>
    </row>
    <row r="10" customFormat="false" ht="15" hidden="false" customHeight="false" outlineLevel="0" collapsed="false">
      <c r="A10" s="18" t="s">
        <v>41</v>
      </c>
      <c r="B10" s="4"/>
      <c r="C10" s="4"/>
    </row>
    <row r="11" customFormat="false" ht="15" hidden="false" customHeight="false" outlineLevel="0" collapsed="false">
      <c r="A11" s="8" t="s">
        <v>42</v>
      </c>
      <c r="B11" s="19" t="n">
        <v>4249004</v>
      </c>
      <c r="C11" s="20" t="s">
        <v>43</v>
      </c>
    </row>
    <row r="12" customFormat="false" ht="15" hidden="false" customHeight="false" outlineLevel="0" collapsed="false">
      <c r="A12" s="8" t="s">
        <v>44</v>
      </c>
      <c r="B12" s="19" t="n">
        <v>2766120</v>
      </c>
      <c r="C12" s="20" t="s">
        <v>45</v>
      </c>
    </row>
    <row r="13" customFormat="false" ht="15" hidden="false" customHeight="false" outlineLevel="0" collapsed="false">
      <c r="A13" s="8" t="s">
        <v>46</v>
      </c>
      <c r="B13" s="24" t="n">
        <v>11</v>
      </c>
      <c r="C13" s="20" t="s">
        <v>47</v>
      </c>
    </row>
    <row r="14" customFormat="false" ht="90.25" hidden="false" customHeight="false" outlineLevel="0" collapsed="false">
      <c r="A14" s="8" t="s">
        <v>48</v>
      </c>
      <c r="B14" s="25" t="n">
        <f aca="false">B11-B12</f>
        <v>1482884</v>
      </c>
      <c r="C14" s="22" t="s">
        <v>49</v>
      </c>
    </row>
    <row r="16" customFormat="false" ht="15" hidden="false" customHeight="false" outlineLevel="0" collapsed="false">
      <c r="A16" s="18" t="s">
        <v>50</v>
      </c>
      <c r="B16" s="4"/>
      <c r="C16" s="4"/>
    </row>
    <row r="17" customFormat="false" ht="26.85" hidden="false" customHeight="false" outlineLevel="0" collapsed="false">
      <c r="A17" s="8" t="s">
        <v>51</v>
      </c>
      <c r="B17" s="26" t="n">
        <v>250000</v>
      </c>
      <c r="C17" s="22" t="s">
        <v>52</v>
      </c>
    </row>
    <row r="18" customFormat="false" ht="76.1" hidden="false" customHeight="false" outlineLevel="0" collapsed="false">
      <c r="A18" s="8" t="s">
        <v>53</v>
      </c>
      <c r="B18" s="27" t="n">
        <v>158</v>
      </c>
      <c r="C18" s="28" t="s">
        <v>54</v>
      </c>
    </row>
    <row r="19" customFormat="false" ht="52.2" hidden="false" customHeight="false" outlineLevel="0" collapsed="false">
      <c r="A19" s="8" t="s">
        <v>55</v>
      </c>
      <c r="B19" s="27" t="n">
        <v>0.5</v>
      </c>
      <c r="C19" s="22" t="s">
        <v>56</v>
      </c>
    </row>
    <row r="20" customFormat="false" ht="39.55" hidden="false" customHeight="false" outlineLevel="0" collapsed="false">
      <c r="A20" s="8" t="s">
        <v>57</v>
      </c>
      <c r="B20" s="29" t="n">
        <v>46327</v>
      </c>
      <c r="C20" s="22" t="s">
        <v>58</v>
      </c>
    </row>
    <row r="21" customFormat="false" ht="64.9" hidden="false" customHeight="false" outlineLevel="0" collapsed="false">
      <c r="A21" s="8" t="s">
        <v>59</v>
      </c>
      <c r="B21" s="30" t="n">
        <v>0.07</v>
      </c>
      <c r="C21" s="22" t="s">
        <v>60</v>
      </c>
    </row>
    <row r="22" customFormat="false" ht="26.85" hidden="false" customHeight="false" outlineLevel="0" collapsed="false">
      <c r="A22" s="8" t="s">
        <v>61</v>
      </c>
      <c r="B22" s="24" t="n">
        <v>2</v>
      </c>
      <c r="C22" s="28" t="s">
        <v>62</v>
      </c>
    </row>
    <row r="23" customFormat="false" ht="90.25" hidden="false" customHeight="false" outlineLevel="0" collapsed="false">
      <c r="A23" s="8" t="s">
        <v>63</v>
      </c>
      <c r="B23" s="31" t="n">
        <v>0.15315</v>
      </c>
      <c r="C23" s="22" t="s">
        <v>64</v>
      </c>
    </row>
    <row r="24" customFormat="false" ht="15" hidden="false" customHeight="false" outlineLevel="0" collapsed="false">
      <c r="A24" s="8" t="s">
        <v>65</v>
      </c>
      <c r="B24" s="24" t="n">
        <v>36</v>
      </c>
      <c r="C24" s="28" t="s">
        <v>66</v>
      </c>
    </row>
    <row r="25" customFormat="false" ht="52.2" hidden="false" customHeight="false" outlineLevel="0" collapsed="false">
      <c r="A25" s="8" t="s">
        <v>67</v>
      </c>
      <c r="B25" s="32" t="n">
        <f aca="false">B18</f>
        <v>158</v>
      </c>
      <c r="C25" s="22" t="s">
        <v>68</v>
      </c>
    </row>
    <row r="26" customFormat="false" ht="64.9" hidden="false" customHeight="false" outlineLevel="0" collapsed="false">
      <c r="A26" s="8" t="s">
        <v>69</v>
      </c>
      <c r="B26" s="32" t="n">
        <f aca="false">B18</f>
        <v>158</v>
      </c>
      <c r="C26" s="22" t="s">
        <v>70</v>
      </c>
    </row>
    <row r="27" customFormat="false" ht="15" hidden="false" customHeight="false" outlineLevel="0" collapsed="false">
      <c r="A27" s="8" t="s">
        <v>71</v>
      </c>
      <c r="B27" s="33" t="n">
        <f aca="false">B17*(B18+B19)</f>
        <v>39625000</v>
      </c>
    </row>
    <row r="29" customFormat="false" ht="15" hidden="false" customHeight="false" outlineLevel="0" collapsed="false">
      <c r="A29" s="18" t="s">
        <v>72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customFormat="false" ht="15" hidden="false" customHeight="false" outlineLevel="0" collapsed="false">
      <c r="A30" s="2" t="s">
        <v>73</v>
      </c>
    </row>
    <row r="31" customFormat="false" ht="15" hidden="false" customHeight="false" outlineLevel="0" collapsed="false">
      <c r="A31" s="34" t="s">
        <v>74</v>
      </c>
      <c r="B31" s="6"/>
      <c r="C31" s="35" t="s">
        <v>75</v>
      </c>
      <c r="D31" s="35" t="s">
        <v>76</v>
      </c>
      <c r="E31" s="35" t="s">
        <v>77</v>
      </c>
      <c r="F31" s="35" t="s">
        <v>78</v>
      </c>
      <c r="G31" s="35" t="s">
        <v>79</v>
      </c>
      <c r="H31" s="35" t="s">
        <v>80</v>
      </c>
      <c r="I31" s="35" t="s">
        <v>81</v>
      </c>
      <c r="J31" s="35" t="s">
        <v>82</v>
      </c>
      <c r="K31" s="35" t="s">
        <v>83</v>
      </c>
      <c r="L31" s="35" t="s">
        <v>84</v>
      </c>
      <c r="M31" s="35" t="s">
        <v>85</v>
      </c>
      <c r="N31" s="35" t="s">
        <v>86</v>
      </c>
      <c r="O31" s="34" t="s">
        <v>87</v>
      </c>
    </row>
    <row r="32" customFormat="false" ht="15" hidden="false" customHeight="false" outlineLevel="0" collapsed="false">
      <c r="A32" s="8" t="s">
        <v>88</v>
      </c>
      <c r="C32" s="21" t="n">
        <f aca="false">実績!P9</f>
        <v>900000</v>
      </c>
      <c r="D32" s="21" t="n">
        <f aca="false">実績!Q9</f>
        <v>900000</v>
      </c>
      <c r="E32" s="21" t="n">
        <f aca="false">実績!R9</f>
        <v>900000</v>
      </c>
      <c r="F32" s="21" t="n">
        <f aca="false">実績!S9</f>
        <v>900000</v>
      </c>
      <c r="G32" s="21" t="n">
        <f aca="false">実績!T9</f>
        <v>900000</v>
      </c>
      <c r="H32" s="21" t="n">
        <f aca="false">実績!U9</f>
        <v>900000</v>
      </c>
      <c r="I32" s="21" t="n">
        <f aca="false">実績!V9</f>
        <v>900000</v>
      </c>
      <c r="J32" s="21" t="n">
        <f aca="false">実績!W9</f>
        <v>900000</v>
      </c>
      <c r="K32" s="21" t="n">
        <f aca="false">実績!X9</f>
        <v>900000</v>
      </c>
      <c r="L32" s="21" t="n">
        <f aca="false">実績!Y9</f>
        <v>900000</v>
      </c>
      <c r="M32" s="21" t="n">
        <f aca="false">実績!Z9</f>
        <v>900000</v>
      </c>
      <c r="N32" s="21" t="n">
        <f aca="false">実績!AA9</f>
        <v>2400000</v>
      </c>
      <c r="O32" s="33" t="n">
        <f aca="false">SUM(C32:N32)</f>
        <v>12300000</v>
      </c>
    </row>
    <row r="33" customFormat="false" ht="15" hidden="false" customHeight="false" outlineLevel="0" collapsed="false">
      <c r="A33" s="8" t="s">
        <v>89</v>
      </c>
      <c r="C33" s="21" t="n">
        <f aca="false">実績!P10+実績!P11+実績!P12+実績!P13</f>
        <v>1218210</v>
      </c>
      <c r="D33" s="21" t="n">
        <f aca="false">実績!Q10+実績!Q11+実績!Q12+実績!Q13</f>
        <v>840557</v>
      </c>
      <c r="E33" s="21" t="n">
        <f aca="false">実績!R10+実績!R11+実績!R12+実績!R13</f>
        <v>2300348</v>
      </c>
      <c r="F33" s="21" t="n">
        <f aca="false">実績!S10+実績!S11+実績!S12+実績!S13</f>
        <v>1061189</v>
      </c>
      <c r="G33" s="21" t="n">
        <f aca="false">実績!T10+実績!T11+実績!T12+実績!T13</f>
        <v>1016578</v>
      </c>
      <c r="H33" s="21" t="n">
        <f aca="false">実績!U10+実績!U11+実績!U12+実績!U13</f>
        <v>880854</v>
      </c>
      <c r="I33" s="21" t="n">
        <f aca="false">実績!V10+実績!V11+実績!V12+実績!V13</f>
        <v>815780</v>
      </c>
      <c r="J33" s="21" t="n">
        <f aca="false">実績!W10+実績!W11+実績!W12+実績!W13</f>
        <v>672558</v>
      </c>
      <c r="K33" s="21" t="n">
        <f aca="false">実績!X10+実績!X11+実績!X12+実績!X13</f>
        <v>1106054</v>
      </c>
      <c r="L33" s="21" t="n">
        <f aca="false">実績!Y10+実績!Y11+実績!Y12+実績!Y13</f>
        <v>1378300</v>
      </c>
      <c r="M33" s="21" t="n">
        <f aca="false">実績!Z10+実績!Z11+実績!Z12+実績!Z13</f>
        <v>890878</v>
      </c>
      <c r="N33" s="21" t="n">
        <f aca="false">実績!AA10+実績!AA11+実績!AA12+実績!AA13</f>
        <v>1207652</v>
      </c>
      <c r="O33" s="33" t="n">
        <f aca="false">SUM(C33:N33)</f>
        <v>13388958</v>
      </c>
    </row>
    <row r="34" customFormat="false" ht="15" hidden="false" customHeight="false" outlineLevel="0" collapsed="false">
      <c r="A34" s="8" t="s">
        <v>90</v>
      </c>
      <c r="C34" s="21" t="n">
        <f aca="false">IF($B$9=1,保険支払!C26,実績!P14)</f>
        <v>892858</v>
      </c>
      <c r="D34" s="21" t="n">
        <f aca="false">IF($B$9=1,保険支払!D26,実績!Q14)</f>
        <v>892858</v>
      </c>
      <c r="E34" s="21" t="n">
        <f aca="false">IF($B$9=1,保険支払!E26,実績!R14)</f>
        <v>892858</v>
      </c>
      <c r="F34" s="21" t="n">
        <f aca="false">IF($B$9=1,保険支払!F26,実績!S14)</f>
        <v>892858</v>
      </c>
      <c r="G34" s="21" t="n">
        <f aca="false">IF($B$9=1,保険支払!G26,実績!T14)</f>
        <v>892858</v>
      </c>
      <c r="H34" s="21" t="n">
        <f aca="false">IF($B$9=1,保険支払!H26,実績!U14)</f>
        <v>892858</v>
      </c>
      <c r="I34" s="21" t="n">
        <f aca="false">IF($B$9=1,保険支払!I26,実績!V14)</f>
        <v>892858</v>
      </c>
      <c r="J34" s="21" t="n">
        <f aca="false">IF($B$9=1,保険支払!J26,実績!W14)</f>
        <v>892858</v>
      </c>
      <c r="K34" s="21" t="n">
        <f aca="false">IF($B$9=1,保険支払!K26,実績!X14)</f>
        <v>12633297</v>
      </c>
      <c r="L34" s="21" t="n">
        <f aca="false">IF($B$9=1,保険支払!L26,実績!Y14)</f>
        <v>2600518</v>
      </c>
      <c r="M34" s="21" t="n">
        <f aca="false">IF($B$9=1,保険支払!M26,実績!Z14)</f>
        <v>892858</v>
      </c>
      <c r="N34" s="21" t="n">
        <f aca="false">IF($B$9=1,保険支払!N26,実績!AA14)</f>
        <v>10397518</v>
      </c>
      <c r="O34" s="33" t="n">
        <f aca="false">SUM(C34:N34)</f>
        <v>33667055</v>
      </c>
    </row>
    <row r="35" customFormat="false" ht="15" hidden="false" customHeight="false" outlineLevel="0" collapsed="false">
      <c r="A35" s="8" t="s">
        <v>91</v>
      </c>
      <c r="C35" s="21" t="n">
        <f aca="false">実績!P15</f>
        <v>0</v>
      </c>
      <c r="D35" s="21" t="n">
        <f aca="false">実績!Q15</f>
        <v>0</v>
      </c>
      <c r="E35" s="21" t="n">
        <f aca="false">実績!R15</f>
        <v>0</v>
      </c>
      <c r="F35" s="21" t="n">
        <f aca="false">実績!S15</f>
        <v>71800</v>
      </c>
      <c r="G35" s="21" t="n">
        <f aca="false">実績!T15</f>
        <v>195769</v>
      </c>
      <c r="H35" s="21" t="n">
        <f aca="false">実績!U15</f>
        <v>5326</v>
      </c>
      <c r="I35" s="21" t="n">
        <f aca="false">実績!V15</f>
        <v>5224100</v>
      </c>
      <c r="J35" s="21" t="n">
        <f aca="false">実績!W15</f>
        <v>1719800</v>
      </c>
      <c r="K35" s="21" t="n">
        <f aca="false">実績!X15</f>
        <v>35500</v>
      </c>
      <c r="L35" s="21" t="n">
        <f aca="false">実績!Y15</f>
        <v>15705</v>
      </c>
      <c r="M35" s="21" t="n">
        <f aca="false">実績!Z15</f>
        <v>22952</v>
      </c>
      <c r="N35" s="21" t="n">
        <f aca="false">実績!AA15</f>
        <v>600</v>
      </c>
      <c r="O35" s="33" t="n">
        <f aca="false">SUM(C35:N35)</f>
        <v>7291552</v>
      </c>
    </row>
    <row r="36" customFormat="false" ht="15" hidden="false" customHeight="false" outlineLevel="0" collapsed="false">
      <c r="A36" s="8" t="s">
        <v>92</v>
      </c>
      <c r="C36" s="21" t="n">
        <f aca="false">実績!P16+実績!P17</f>
        <v>432715</v>
      </c>
      <c r="D36" s="21" t="n">
        <f aca="false">実績!Q16+実績!Q17</f>
        <v>441929</v>
      </c>
      <c r="E36" s="21" t="n">
        <f aca="false">実績!R16+実績!R17</f>
        <v>521112</v>
      </c>
      <c r="F36" s="21" t="n">
        <f aca="false">実績!S16+実績!S17</f>
        <v>505753</v>
      </c>
      <c r="G36" s="21" t="n">
        <f aca="false">実績!T16+実績!T17</f>
        <v>383240</v>
      </c>
      <c r="H36" s="21" t="n">
        <f aca="false">実績!U16+実績!U17</f>
        <v>494526</v>
      </c>
      <c r="I36" s="21" t="n">
        <f aca="false">実績!V16+実績!V17</f>
        <v>460352</v>
      </c>
      <c r="J36" s="21" t="n">
        <f aca="false">実績!W16+実績!W17</f>
        <v>424654</v>
      </c>
      <c r="K36" s="21" t="n">
        <f aca="false">実績!X16+実績!X17</f>
        <v>507425</v>
      </c>
      <c r="L36" s="21" t="n">
        <f aca="false">実績!Y16+実績!Y17</f>
        <v>515232</v>
      </c>
      <c r="M36" s="21" t="n">
        <f aca="false">実績!Z16+実績!Z17</f>
        <v>649918</v>
      </c>
      <c r="N36" s="21" t="n">
        <f aca="false">実績!AA16+実績!AA17</f>
        <v>518550</v>
      </c>
      <c r="O36" s="33" t="n">
        <f aca="false">SUM(C36:N36)</f>
        <v>5855406</v>
      </c>
    </row>
    <row r="37" customFormat="false" ht="15" hidden="false" customHeight="false" outlineLevel="0" collapsed="false">
      <c r="A37" s="8" t="s">
        <v>93</v>
      </c>
      <c r="C37" s="21" t="n">
        <f aca="false">実績!P18+実績!P19</f>
        <v>670756</v>
      </c>
      <c r="D37" s="21" t="n">
        <f aca="false">実績!Q18+実績!Q19</f>
        <v>2285363</v>
      </c>
      <c r="E37" s="21" t="n">
        <f aca="false">実績!R18+実績!R19</f>
        <v>1476545</v>
      </c>
      <c r="F37" s="21" t="n">
        <f aca="false">実績!S18+実績!S19</f>
        <v>680669</v>
      </c>
      <c r="G37" s="21" t="n">
        <f aca="false">実績!T18+実績!T19</f>
        <v>664213</v>
      </c>
      <c r="H37" s="21" t="n">
        <f aca="false">実績!U18+実績!U19</f>
        <v>1203941</v>
      </c>
      <c r="I37" s="21" t="n">
        <f aca="false">実績!V18+実績!V19</f>
        <v>788903</v>
      </c>
      <c r="J37" s="21" t="n">
        <f aca="false">実績!W18+実績!W19</f>
        <v>935455</v>
      </c>
      <c r="K37" s="21" t="n">
        <f aca="false">実績!X18+実績!X19</f>
        <v>831674</v>
      </c>
      <c r="L37" s="21" t="n">
        <f aca="false">実績!Y18+実績!Y19</f>
        <v>753886</v>
      </c>
      <c r="M37" s="21" t="n">
        <f aca="false">実績!Z18+実績!Z19</f>
        <v>413189</v>
      </c>
      <c r="N37" s="21" t="n">
        <f aca="false">実績!AA18+実績!AA19</f>
        <v>247264</v>
      </c>
      <c r="O37" s="33" t="n">
        <f aca="false">SUM(C37:N37)</f>
        <v>10951858</v>
      </c>
    </row>
    <row r="38" customFormat="false" ht="15" hidden="false" customHeight="false" outlineLevel="0" collapsed="false">
      <c r="A38" s="8" t="s">
        <v>94</v>
      </c>
      <c r="C38" s="21" t="n">
        <f aca="false">実績!P20+実績!P21+実績!P22</f>
        <v>73685</v>
      </c>
      <c r="D38" s="21" t="n">
        <f aca="false">実績!Q20+実績!Q21+実績!Q22</f>
        <v>22043</v>
      </c>
      <c r="E38" s="21" t="n">
        <f aca="false">実績!R20+実績!R21+実績!R22</f>
        <v>30011</v>
      </c>
      <c r="F38" s="21" t="n">
        <f aca="false">実績!S20+実績!S21+実績!S22</f>
        <v>76544</v>
      </c>
      <c r="G38" s="21" t="n">
        <f aca="false">実績!T20+実績!T21+実績!T22</f>
        <v>122157</v>
      </c>
      <c r="H38" s="21" t="n">
        <f aca="false">実績!U20+実績!U21+実績!U22</f>
        <v>67497</v>
      </c>
      <c r="I38" s="21" t="n">
        <f aca="false">実績!V20+実績!V21+実績!V22</f>
        <v>315950</v>
      </c>
      <c r="J38" s="21" t="n">
        <f aca="false">実績!W20+実績!W21+実績!W22</f>
        <v>28725</v>
      </c>
      <c r="K38" s="21" t="n">
        <f aca="false">実績!X20+実績!X21+実績!X22</f>
        <v>25723</v>
      </c>
      <c r="L38" s="21" t="n">
        <f aca="false">実績!Y20+実績!Y21+実績!Y22</f>
        <v>91475</v>
      </c>
      <c r="M38" s="21" t="n">
        <f aca="false">実績!Z20+実績!Z21+実績!Z22</f>
        <v>151279</v>
      </c>
      <c r="N38" s="21" t="n">
        <f aca="false">実績!AA20+実績!AA21+実績!AA22</f>
        <v>255843</v>
      </c>
      <c r="O38" s="33" t="n">
        <f aca="false">SUM(C38:N38)</f>
        <v>1260932</v>
      </c>
    </row>
    <row r="39" customFormat="false" ht="15" hidden="false" customHeight="false" outlineLevel="0" collapsed="false">
      <c r="A39" s="8" t="s">
        <v>95</v>
      </c>
      <c r="C39" s="21" t="n">
        <f aca="false">実績!P23+実績!P24+実績!P25+実績!P26+実績!P27</f>
        <v>128050</v>
      </c>
      <c r="D39" s="21" t="n">
        <f aca="false">実績!Q23+実績!Q24+実績!Q25+実績!Q26+実績!Q27</f>
        <v>260032</v>
      </c>
      <c r="E39" s="21" t="n">
        <f aca="false">実績!R23+実績!R24+実績!R25+実績!R26+実績!R27</f>
        <v>261309</v>
      </c>
      <c r="F39" s="21" t="n">
        <f aca="false">実績!S23+実績!S24+実績!S25+実績!S26+実績!S27</f>
        <v>536843</v>
      </c>
      <c r="G39" s="21" t="n">
        <f aca="false">実績!T23+実績!T24+実績!T25+実績!T26+実績!T27</f>
        <v>317528</v>
      </c>
      <c r="H39" s="21" t="n">
        <f aca="false">実績!U23+実績!U24+実績!U25+実績!U26+実績!U27</f>
        <v>211905</v>
      </c>
      <c r="I39" s="21" t="n">
        <f aca="false">実績!V23+実績!V24+実績!V25+実績!V26+実績!V27</f>
        <v>263450</v>
      </c>
      <c r="J39" s="21" t="n">
        <f aca="false">実績!W23+実績!W24+実績!W25+実績!W26+実績!W27</f>
        <v>249595</v>
      </c>
      <c r="K39" s="21" t="n">
        <f aca="false">実績!X23+実績!X24+実績!X25+実績!X26+実績!X27</f>
        <v>255950</v>
      </c>
      <c r="L39" s="21" t="n">
        <f aca="false">実績!Y23+実績!Y24+実績!Y25+実績!Y26+実績!Y27</f>
        <v>204095</v>
      </c>
      <c r="M39" s="21" t="n">
        <f aca="false">実績!Z23+実績!Z24+実績!Z25+実績!Z26+実績!Z27</f>
        <v>228050</v>
      </c>
      <c r="N39" s="21" t="n">
        <f aca="false">実績!AA23+実績!AA24+実績!AA25+実績!AA26+実績!AA27</f>
        <v>195150</v>
      </c>
      <c r="O39" s="33" t="n">
        <f aca="false">SUM(C39:N39)</f>
        <v>3111957</v>
      </c>
    </row>
    <row r="40" customFormat="false" ht="15" hidden="false" customHeight="false" outlineLevel="0" collapsed="false">
      <c r="A40" s="36" t="s">
        <v>96</v>
      </c>
      <c r="C40" s="37" t="n">
        <f aca="false">SUM(C32:C39)</f>
        <v>4316274</v>
      </c>
      <c r="D40" s="37" t="n">
        <f aca="false">SUM(D32:D39)</f>
        <v>5642782</v>
      </c>
      <c r="E40" s="37" t="n">
        <f aca="false">SUM(E32:E39)</f>
        <v>6382183</v>
      </c>
      <c r="F40" s="37" t="n">
        <f aca="false">SUM(F32:F39)</f>
        <v>4725656</v>
      </c>
      <c r="G40" s="37" t="n">
        <f aca="false">SUM(G32:G39)</f>
        <v>4492343</v>
      </c>
      <c r="H40" s="37" t="n">
        <f aca="false">SUM(H32:H39)</f>
        <v>4656907</v>
      </c>
      <c r="I40" s="37" t="n">
        <f aca="false">SUM(I32:I39)</f>
        <v>9661393</v>
      </c>
      <c r="J40" s="37" t="n">
        <f aca="false">SUM(J32:J39)</f>
        <v>5823645</v>
      </c>
      <c r="K40" s="37" t="n">
        <f aca="false">SUM(K32:K39)</f>
        <v>16295623</v>
      </c>
      <c r="L40" s="37" t="n">
        <f aca="false">SUM(L32:L39)</f>
        <v>6459211</v>
      </c>
      <c r="M40" s="37" t="n">
        <f aca="false">SUM(M32:M39)</f>
        <v>4149124</v>
      </c>
      <c r="N40" s="37" t="n">
        <f aca="false">SUM(N32:N39)</f>
        <v>15222577</v>
      </c>
      <c r="O40" s="37" t="n">
        <f aca="false">SUM(O32:O39)</f>
        <v>87827718</v>
      </c>
    </row>
    <row r="42" customFormat="false" ht="15" hidden="false" customHeight="false" outlineLevel="0" collapsed="false">
      <c r="A42" s="2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"/>
    <col collapsed="false" customWidth="true" hidden="false" outlineLevel="0" max="14" min="3" style="0" width="11"/>
    <col collapsed="false" customWidth="true" hidden="false" outlineLevel="0" max="15" min="15" style="0" width="13"/>
  </cols>
  <sheetData>
    <row r="1" customFormat="false" ht="17.15" hidden="false" customHeight="false" outlineLevel="0" collapsed="false">
      <c r="A1" s="17" t="s">
        <v>98</v>
      </c>
    </row>
    <row r="2" customFormat="false" ht="15" hidden="false" customHeight="false" outlineLevel="0" collapsed="false">
      <c r="A2" s="2" t="s">
        <v>99</v>
      </c>
    </row>
    <row r="4" customFormat="false" ht="15" hidden="false" customHeight="false" outlineLevel="0" collapsed="false">
      <c r="A4" s="34" t="s">
        <v>7</v>
      </c>
      <c r="B4" s="6"/>
      <c r="C4" s="38" t="n">
        <v>46296</v>
      </c>
      <c r="D4" s="38" t="n">
        <f aca="false">EDATE(C4,1)</f>
        <v>46327</v>
      </c>
      <c r="E4" s="38" t="n">
        <f aca="false">EDATE(D4,1)</f>
        <v>46357</v>
      </c>
      <c r="F4" s="38" t="n">
        <f aca="false">EDATE(E4,1)</f>
        <v>46388</v>
      </c>
      <c r="G4" s="38" t="n">
        <f aca="false">EDATE(F4,1)</f>
        <v>46419</v>
      </c>
      <c r="H4" s="38" t="n">
        <f aca="false">EDATE(G4,1)</f>
        <v>46447</v>
      </c>
      <c r="I4" s="38" t="n">
        <f aca="false">EDATE(H4,1)</f>
        <v>46478</v>
      </c>
      <c r="J4" s="38" t="n">
        <f aca="false">EDATE(I4,1)</f>
        <v>46508</v>
      </c>
      <c r="K4" s="38" t="n">
        <f aca="false">EDATE(J4,1)</f>
        <v>46539</v>
      </c>
      <c r="L4" s="38" t="n">
        <f aca="false">EDATE(K4,1)</f>
        <v>46569</v>
      </c>
      <c r="M4" s="38" t="n">
        <f aca="false">EDATE(L4,1)</f>
        <v>46600</v>
      </c>
      <c r="N4" s="38" t="n">
        <f aca="false">EDATE(M4,1)</f>
        <v>46631</v>
      </c>
      <c r="O4" s="39" t="s">
        <v>100</v>
      </c>
    </row>
    <row r="5" customFormat="false" ht="15" hidden="false" customHeight="false" outlineLevel="0" collapsed="false">
      <c r="A5" s="8" t="s">
        <v>101</v>
      </c>
      <c r="C5" s="40" t="str">
        <f aca="false">"令和"&amp;(YEAR(C4)-2018+IF(MONTH(C4)&gt;=10,1,0))&amp;"年9月期"</f>
        <v>令和9年9月期</v>
      </c>
      <c r="D5" s="40" t="str">
        <f aca="false">"令和"&amp;(YEAR(D4)-2018+IF(MONTH(D4)&gt;=10,1,0))&amp;"年9月期"</f>
        <v>令和9年9月期</v>
      </c>
      <c r="E5" s="40" t="str">
        <f aca="false">"令和"&amp;(YEAR(E4)-2018+IF(MONTH(E4)&gt;=10,1,0))&amp;"年9月期"</f>
        <v>令和9年9月期</v>
      </c>
      <c r="F5" s="40" t="str">
        <f aca="false">"令和"&amp;(YEAR(F4)-2018+IF(MONTH(F4)&gt;=10,1,0))&amp;"年9月期"</f>
        <v>令和9年9月期</v>
      </c>
      <c r="G5" s="40" t="str">
        <f aca="false">"令和"&amp;(YEAR(G4)-2018+IF(MONTH(G4)&gt;=10,1,0))&amp;"年9月期"</f>
        <v>令和9年9月期</v>
      </c>
      <c r="H5" s="40" t="str">
        <f aca="false">"令和"&amp;(YEAR(H4)-2018+IF(MONTH(H4)&gt;=10,1,0))&amp;"年9月期"</f>
        <v>令和9年9月期</v>
      </c>
      <c r="I5" s="40" t="str">
        <f aca="false">"令和"&amp;(YEAR(I4)-2018+IF(MONTH(I4)&gt;=10,1,0))&amp;"年9月期"</f>
        <v>令和9年9月期</v>
      </c>
      <c r="J5" s="40" t="str">
        <f aca="false">"令和"&amp;(YEAR(J4)-2018+IF(MONTH(J4)&gt;=10,1,0))&amp;"年9月期"</f>
        <v>令和9年9月期</v>
      </c>
      <c r="K5" s="40" t="str">
        <f aca="false">"令和"&amp;(YEAR(K4)-2018+IF(MONTH(K4)&gt;=10,1,0))&amp;"年9月期"</f>
        <v>令和9年9月期</v>
      </c>
      <c r="L5" s="40" t="str">
        <f aca="false">"令和"&amp;(YEAR(L4)-2018+IF(MONTH(L4)&gt;=10,1,0))&amp;"年9月期"</f>
        <v>令和9年9月期</v>
      </c>
      <c r="M5" s="40" t="str">
        <f aca="false">"令和"&amp;(YEAR(M4)-2018+IF(MONTH(M4)&gt;=10,1,0))&amp;"年9月期"</f>
        <v>令和9年9月期</v>
      </c>
      <c r="N5" s="40" t="str">
        <f aca="false">"令和"&amp;(YEAR(N4)-2018+IF(MONTH(N4)&gt;=10,1,0))&amp;"年9月期"</f>
        <v>令和9年9月期</v>
      </c>
    </row>
    <row r="6" customFormat="false" ht="15" hidden="false" customHeight="false" outlineLevel="0" collapsed="false">
      <c r="A6" s="5" t="s">
        <v>102</v>
      </c>
      <c r="C6" s="9" t="n">
        <f aca="false">前提!B5</f>
        <v>207939447</v>
      </c>
      <c r="D6" s="10" t="n">
        <f aca="false">C29</f>
        <v>207423442</v>
      </c>
      <c r="E6" s="10" t="n">
        <f aca="false">D29</f>
        <v>204098045</v>
      </c>
      <c r="F6" s="10" t="n">
        <f aca="false">E29</f>
        <v>201516131</v>
      </c>
      <c r="G6" s="10" t="n">
        <f aca="false">F29</f>
        <v>200590744</v>
      </c>
      <c r="H6" s="10" t="n">
        <f aca="false">G29</f>
        <v>199898670</v>
      </c>
      <c r="I6" s="10" t="n">
        <f aca="false">H29</f>
        <v>199042032</v>
      </c>
      <c r="J6" s="10" t="n">
        <f aca="false">I29</f>
        <v>193180908</v>
      </c>
      <c r="K6" s="10" t="n">
        <f aca="false">J29</f>
        <v>191157532</v>
      </c>
      <c r="L6" s="10" t="n">
        <f aca="false">K29</f>
        <v>178662178</v>
      </c>
      <c r="M6" s="10" t="n">
        <f aca="false">L29</f>
        <v>176003236</v>
      </c>
      <c r="N6" s="10" t="n">
        <f aca="false">M29</f>
        <v>175654381</v>
      </c>
      <c r="O6" s="41" t="n">
        <f aca="false">C6</f>
        <v>207939447</v>
      </c>
    </row>
    <row r="7" customFormat="false" ht="15" hidden="false" customHeight="false" outlineLevel="0" collapsed="false">
      <c r="A7" s="3" t="s">
        <v>103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customFormat="false" ht="15" hidden="false" customHeight="false" outlineLevel="0" collapsed="false">
      <c r="A8" s="8" t="s">
        <v>104</v>
      </c>
      <c r="C8" s="9" t="n">
        <f aca="false">前提!$B$6</f>
        <v>3800269</v>
      </c>
      <c r="D8" s="9" t="n">
        <f aca="false">前提!$B$6</f>
        <v>3800269</v>
      </c>
      <c r="E8" s="9" t="n">
        <f aca="false">前提!$B$6</f>
        <v>3800269</v>
      </c>
      <c r="F8" s="9" t="n">
        <f aca="false">前提!$B$6</f>
        <v>3800269</v>
      </c>
      <c r="G8" s="9" t="n">
        <f aca="false">前提!$B$6</f>
        <v>3800269</v>
      </c>
      <c r="H8" s="9" t="n">
        <f aca="false">前提!$B$6</f>
        <v>3800269</v>
      </c>
      <c r="I8" s="9" t="n">
        <f aca="false">前提!$B$6</f>
        <v>3800269</v>
      </c>
      <c r="J8" s="9" t="n">
        <f aca="false">前提!$B$6</f>
        <v>3800269</v>
      </c>
      <c r="K8" s="9" t="n">
        <f aca="false">前提!$B$6</f>
        <v>3800269</v>
      </c>
      <c r="L8" s="9" t="n">
        <f aca="false">前提!$B$6</f>
        <v>3800269</v>
      </c>
      <c r="M8" s="9" t="n">
        <f aca="false">前提!$B$6</f>
        <v>3800269</v>
      </c>
      <c r="N8" s="9" t="n">
        <f aca="false">前提!$B$6</f>
        <v>3800269</v>
      </c>
      <c r="O8" s="41" t="n">
        <f aca="false">SUM(C8:N8)</f>
        <v>45603228</v>
      </c>
    </row>
    <row r="9" customFormat="false" ht="15" hidden="false" customHeight="false" outlineLevel="0" collapsed="false">
      <c r="A9" s="8" t="s">
        <v>105</v>
      </c>
      <c r="C9" s="42" t="n">
        <v>0</v>
      </c>
      <c r="D9" s="42" t="n">
        <v>0</v>
      </c>
      <c r="E9" s="42" t="n">
        <v>0</v>
      </c>
      <c r="F9" s="42" t="n">
        <v>0</v>
      </c>
      <c r="G9" s="42" t="n">
        <v>0</v>
      </c>
      <c r="H9" s="42" t="n">
        <v>0</v>
      </c>
      <c r="I9" s="42" t="n">
        <v>0</v>
      </c>
      <c r="J9" s="42" t="n">
        <v>0</v>
      </c>
      <c r="K9" s="42" t="n">
        <v>0</v>
      </c>
      <c r="L9" s="42" t="n">
        <v>0</v>
      </c>
      <c r="M9" s="42" t="n">
        <v>0</v>
      </c>
      <c r="N9" s="42" t="n">
        <v>0</v>
      </c>
      <c r="O9" s="41" t="n">
        <f aca="false">SUM(C9:N9)</f>
        <v>0</v>
      </c>
    </row>
    <row r="10" customFormat="false" ht="15" hidden="false" customHeight="false" outlineLevel="0" collapsed="false">
      <c r="A10" s="8" t="s">
        <v>106</v>
      </c>
      <c r="C10" s="42" t="n">
        <v>0</v>
      </c>
      <c r="D10" s="42" t="n">
        <v>0</v>
      </c>
      <c r="E10" s="42" t="n">
        <v>0</v>
      </c>
      <c r="F10" s="42" t="n">
        <v>0</v>
      </c>
      <c r="G10" s="42" t="n">
        <v>0</v>
      </c>
      <c r="H10" s="42" t="n">
        <v>0</v>
      </c>
      <c r="I10" s="42" t="n">
        <v>0</v>
      </c>
      <c r="J10" s="42" t="n">
        <v>0</v>
      </c>
      <c r="K10" s="42" t="n">
        <v>0</v>
      </c>
      <c r="L10" s="42" t="n">
        <v>0</v>
      </c>
      <c r="M10" s="42" t="n">
        <v>0</v>
      </c>
      <c r="N10" s="42" t="n">
        <v>0</v>
      </c>
      <c r="O10" s="41" t="n">
        <f aca="false">SUM(C10:N10)</f>
        <v>0</v>
      </c>
    </row>
    <row r="11" customFormat="false" ht="15" hidden="false" customHeight="false" outlineLevel="0" collapsed="false">
      <c r="A11" s="8" t="s">
        <v>107</v>
      </c>
      <c r="C11" s="42" t="n">
        <v>0</v>
      </c>
      <c r="D11" s="42" t="n">
        <v>0</v>
      </c>
      <c r="E11" s="42" t="n">
        <v>0</v>
      </c>
      <c r="F11" s="42" t="n">
        <v>0</v>
      </c>
      <c r="G11" s="42" t="n">
        <v>0</v>
      </c>
      <c r="H11" s="42" t="n">
        <v>0</v>
      </c>
      <c r="I11" s="42" t="n">
        <v>0</v>
      </c>
      <c r="J11" s="42" t="n">
        <v>0</v>
      </c>
      <c r="K11" s="42" t="n">
        <v>0</v>
      </c>
      <c r="L11" s="42" t="n">
        <v>0</v>
      </c>
      <c r="M11" s="42" t="n">
        <v>0</v>
      </c>
      <c r="N11" s="42" t="n">
        <v>0</v>
      </c>
      <c r="O11" s="41" t="n">
        <f aca="false">SUM(C11:N11)</f>
        <v>0</v>
      </c>
    </row>
    <row r="12" customFormat="false" ht="15" hidden="false" customHeight="false" outlineLevel="0" collapsed="false">
      <c r="A12" s="8" t="s">
        <v>108</v>
      </c>
      <c r="C12" s="42" t="n">
        <v>0</v>
      </c>
      <c r="D12" s="42" t="n">
        <v>0</v>
      </c>
      <c r="E12" s="42" t="n">
        <v>0</v>
      </c>
      <c r="F12" s="42" t="n">
        <v>0</v>
      </c>
      <c r="G12" s="42" t="n">
        <v>0</v>
      </c>
      <c r="H12" s="42" t="n">
        <v>0</v>
      </c>
      <c r="I12" s="42" t="n">
        <v>0</v>
      </c>
      <c r="J12" s="42" t="n">
        <v>0</v>
      </c>
      <c r="K12" s="42" t="n">
        <v>0</v>
      </c>
      <c r="L12" s="42" t="n">
        <v>0</v>
      </c>
      <c r="M12" s="42" t="n">
        <v>0</v>
      </c>
      <c r="N12" s="42" t="n">
        <v>0</v>
      </c>
      <c r="O12" s="41" t="n">
        <f aca="false">SUM(C12:N12)</f>
        <v>0</v>
      </c>
    </row>
    <row r="13" customFormat="false" ht="15" hidden="false" customHeight="false" outlineLevel="0" collapsed="false">
      <c r="A13" s="36" t="s">
        <v>109</v>
      </c>
      <c r="C13" s="43" t="n">
        <f aca="false">SUM(C8:C12)</f>
        <v>3800269</v>
      </c>
      <c r="D13" s="43" t="n">
        <f aca="false">SUM(D8:D12)</f>
        <v>3800269</v>
      </c>
      <c r="E13" s="43" t="n">
        <f aca="false">SUM(E8:E12)</f>
        <v>3800269</v>
      </c>
      <c r="F13" s="43" t="n">
        <f aca="false">SUM(F8:F12)</f>
        <v>3800269</v>
      </c>
      <c r="G13" s="43" t="n">
        <f aca="false">SUM(G8:G12)</f>
        <v>3800269</v>
      </c>
      <c r="H13" s="43" t="n">
        <f aca="false">SUM(H8:H12)</f>
        <v>3800269</v>
      </c>
      <c r="I13" s="43" t="n">
        <f aca="false">SUM(I8:I12)</f>
        <v>3800269</v>
      </c>
      <c r="J13" s="43" t="n">
        <f aca="false">SUM(J8:J12)</f>
        <v>3800269</v>
      </c>
      <c r="K13" s="43" t="n">
        <f aca="false">SUM(K8:K12)</f>
        <v>3800269</v>
      </c>
      <c r="L13" s="43" t="n">
        <f aca="false">SUM(L8:L12)</f>
        <v>3800269</v>
      </c>
      <c r="M13" s="43" t="n">
        <f aca="false">SUM(M8:M12)</f>
        <v>3800269</v>
      </c>
      <c r="N13" s="43" t="n">
        <f aca="false">SUM(N8:N12)</f>
        <v>3800269</v>
      </c>
      <c r="O13" s="41" t="n">
        <f aca="false">SUM(C13:N13)</f>
        <v>45603228</v>
      </c>
    </row>
    <row r="14" customFormat="false" ht="15" hidden="false" customHeight="false" outlineLevel="0" collapsed="false">
      <c r="A14" s="3" t="s">
        <v>110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customFormat="false" ht="15" hidden="false" customHeight="false" outlineLevel="0" collapsed="false">
      <c r="A15" s="8" t="s">
        <v>88</v>
      </c>
      <c r="C15" s="9" t="n">
        <f aca="false">INDEX(前提!$C$32:$N$32,MOD(MONTH(C$4)-10,12)+1)</f>
        <v>900000</v>
      </c>
      <c r="D15" s="9" t="n">
        <f aca="false">INDEX(前提!$C$32:$N$32,MOD(MONTH(D$4)-10,12)+1)</f>
        <v>900000</v>
      </c>
      <c r="E15" s="9" t="n">
        <f aca="false">INDEX(前提!$C$32:$N$32,MOD(MONTH(E$4)-10,12)+1)</f>
        <v>900000</v>
      </c>
      <c r="F15" s="9" t="n">
        <f aca="false">INDEX(前提!$C$32:$N$32,MOD(MONTH(F$4)-10,12)+1)</f>
        <v>900000</v>
      </c>
      <c r="G15" s="9" t="n">
        <f aca="false">INDEX(前提!$C$32:$N$32,MOD(MONTH(G$4)-10,12)+1)</f>
        <v>900000</v>
      </c>
      <c r="H15" s="9" t="n">
        <f aca="false">INDEX(前提!$C$32:$N$32,MOD(MONTH(H$4)-10,12)+1)</f>
        <v>900000</v>
      </c>
      <c r="I15" s="9" t="n">
        <f aca="false">INDEX(前提!$C$32:$N$32,MOD(MONTH(I$4)-10,12)+1)</f>
        <v>900000</v>
      </c>
      <c r="J15" s="9" t="n">
        <f aca="false">INDEX(前提!$C$32:$N$32,MOD(MONTH(J$4)-10,12)+1)</f>
        <v>900000</v>
      </c>
      <c r="K15" s="9" t="n">
        <f aca="false">INDEX(前提!$C$32:$N$32,MOD(MONTH(K$4)-10,12)+1)</f>
        <v>900000</v>
      </c>
      <c r="L15" s="9" t="n">
        <f aca="false">INDEX(前提!$C$32:$N$32,MOD(MONTH(L$4)-10,12)+1)</f>
        <v>900000</v>
      </c>
      <c r="M15" s="9" t="n">
        <f aca="false">INDEX(前提!$C$32:$N$32,MOD(MONTH(M$4)-10,12)+1)</f>
        <v>900000</v>
      </c>
      <c r="N15" s="9" t="n">
        <f aca="false">INDEX(前提!$C$32:$N$32,MOD(MONTH(N$4)-10,12)+1)</f>
        <v>2400000</v>
      </c>
      <c r="O15" s="41" t="n">
        <f aca="false">SUM(C15:N15)</f>
        <v>12300000</v>
      </c>
    </row>
    <row r="16" customFormat="false" ht="15" hidden="false" customHeight="false" outlineLevel="0" collapsed="false">
      <c r="A16" s="8" t="s">
        <v>89</v>
      </c>
      <c r="C16" s="9" t="n">
        <f aca="false">INDEX(前提!$C$33:$N$33,MOD(MONTH(C$4)-10,12)+1)</f>
        <v>1218210</v>
      </c>
      <c r="D16" s="9" t="n">
        <f aca="false">INDEX(前提!$C$33:$N$33,MOD(MONTH(D$4)-10,12)+1)</f>
        <v>840557</v>
      </c>
      <c r="E16" s="9" t="n">
        <f aca="false">INDEX(前提!$C$33:$N$33,MOD(MONTH(E$4)-10,12)+1)</f>
        <v>2300348</v>
      </c>
      <c r="F16" s="9" t="n">
        <f aca="false">INDEX(前提!$C$33:$N$33,MOD(MONTH(F$4)-10,12)+1)</f>
        <v>1061189</v>
      </c>
      <c r="G16" s="9" t="n">
        <f aca="false">INDEX(前提!$C$33:$N$33,MOD(MONTH(G$4)-10,12)+1)</f>
        <v>1016578</v>
      </c>
      <c r="H16" s="9" t="n">
        <f aca="false">INDEX(前提!$C$33:$N$33,MOD(MONTH(H$4)-10,12)+1)</f>
        <v>880854</v>
      </c>
      <c r="I16" s="9" t="n">
        <f aca="false">INDEX(前提!$C$33:$N$33,MOD(MONTH(I$4)-10,12)+1)</f>
        <v>815780</v>
      </c>
      <c r="J16" s="9" t="n">
        <f aca="false">INDEX(前提!$C$33:$N$33,MOD(MONTH(J$4)-10,12)+1)</f>
        <v>672558</v>
      </c>
      <c r="K16" s="9" t="n">
        <f aca="false">INDEX(前提!$C$33:$N$33,MOD(MONTH(K$4)-10,12)+1)</f>
        <v>1106054</v>
      </c>
      <c r="L16" s="9" t="n">
        <f aca="false">INDEX(前提!$C$33:$N$33,MOD(MONTH(L$4)-10,12)+1)</f>
        <v>1378300</v>
      </c>
      <c r="M16" s="9" t="n">
        <f aca="false">INDEX(前提!$C$33:$N$33,MOD(MONTH(M$4)-10,12)+1)</f>
        <v>890878</v>
      </c>
      <c r="N16" s="9" t="n">
        <f aca="false">INDEX(前提!$C$33:$N$33,MOD(MONTH(N$4)-10,12)+1)</f>
        <v>1207652</v>
      </c>
      <c r="O16" s="41" t="n">
        <f aca="false">SUM(C16:N16)</f>
        <v>13388958</v>
      </c>
    </row>
    <row r="17" customFormat="false" ht="15" hidden="false" customHeight="false" outlineLevel="0" collapsed="false">
      <c r="A17" s="8" t="s">
        <v>90</v>
      </c>
      <c r="C17" s="9" t="n">
        <f aca="false">INDEX(前提!$C$34:$N$34,MOD(MONTH(C$4)-10,12)+1)</f>
        <v>892858</v>
      </c>
      <c r="D17" s="9" t="n">
        <f aca="false">INDEX(前提!$C$34:$N$34,MOD(MONTH(D$4)-10,12)+1)</f>
        <v>892858</v>
      </c>
      <c r="E17" s="9" t="n">
        <f aca="false">INDEX(前提!$C$34:$N$34,MOD(MONTH(E$4)-10,12)+1)</f>
        <v>892858</v>
      </c>
      <c r="F17" s="9" t="n">
        <f aca="false">INDEX(前提!$C$34:$N$34,MOD(MONTH(F$4)-10,12)+1)</f>
        <v>892858</v>
      </c>
      <c r="G17" s="9" t="n">
        <f aca="false">INDEX(前提!$C$34:$N$34,MOD(MONTH(G$4)-10,12)+1)</f>
        <v>892858</v>
      </c>
      <c r="H17" s="9" t="n">
        <f aca="false">INDEX(前提!$C$34:$N$34,MOD(MONTH(H$4)-10,12)+1)</f>
        <v>892858</v>
      </c>
      <c r="I17" s="9" t="n">
        <f aca="false">INDEX(前提!$C$34:$N$34,MOD(MONTH(I$4)-10,12)+1)</f>
        <v>892858</v>
      </c>
      <c r="J17" s="9" t="n">
        <f aca="false">INDEX(前提!$C$34:$N$34,MOD(MONTH(J$4)-10,12)+1)</f>
        <v>892858</v>
      </c>
      <c r="K17" s="9" t="n">
        <f aca="false">INDEX(前提!$C$34:$N$34,MOD(MONTH(K$4)-10,12)+1)</f>
        <v>12633297</v>
      </c>
      <c r="L17" s="9" t="n">
        <f aca="false">INDEX(前提!$C$34:$N$34,MOD(MONTH(L$4)-10,12)+1)</f>
        <v>2600518</v>
      </c>
      <c r="M17" s="9" t="n">
        <f aca="false">INDEX(前提!$C$34:$N$34,MOD(MONTH(M$4)-10,12)+1)</f>
        <v>892858</v>
      </c>
      <c r="N17" s="9" t="n">
        <f aca="false">INDEX(前提!$C$34:$N$34,MOD(MONTH(N$4)-10,12)+1)</f>
        <v>10397518</v>
      </c>
      <c r="O17" s="41" t="n">
        <f aca="false">SUM(C17:N17)</f>
        <v>33667055</v>
      </c>
    </row>
    <row r="18" customFormat="false" ht="15" hidden="false" customHeight="false" outlineLevel="0" collapsed="false">
      <c r="A18" s="8" t="s">
        <v>91</v>
      </c>
      <c r="C18" s="9" t="n">
        <f aca="false">INDEX(前提!$C$35:$N$35,MOD(MONTH(C$4)-10,12)+1)</f>
        <v>0</v>
      </c>
      <c r="D18" s="9" t="n">
        <f aca="false">INDEX(前提!$C$35:$N$35,MOD(MONTH(D$4)-10,12)+1)</f>
        <v>0</v>
      </c>
      <c r="E18" s="9" t="n">
        <f aca="false">INDEX(前提!$C$35:$N$35,MOD(MONTH(E$4)-10,12)+1)</f>
        <v>0</v>
      </c>
      <c r="F18" s="9" t="n">
        <f aca="false">INDEX(前提!$C$35:$N$35,MOD(MONTH(F$4)-10,12)+1)</f>
        <v>71800</v>
      </c>
      <c r="G18" s="9" t="n">
        <f aca="false">INDEX(前提!$C$35:$N$35,MOD(MONTH(G$4)-10,12)+1)</f>
        <v>195769</v>
      </c>
      <c r="H18" s="9" t="n">
        <f aca="false">INDEX(前提!$C$35:$N$35,MOD(MONTH(H$4)-10,12)+1)</f>
        <v>5326</v>
      </c>
      <c r="I18" s="9" t="n">
        <f aca="false">INDEX(前提!$C$35:$N$35,MOD(MONTH(I$4)-10,12)+1)</f>
        <v>5224100</v>
      </c>
      <c r="J18" s="9" t="n">
        <f aca="false">INDEX(前提!$C$35:$N$35,MOD(MONTH(J$4)-10,12)+1)</f>
        <v>1719800</v>
      </c>
      <c r="K18" s="9" t="n">
        <f aca="false">INDEX(前提!$C$35:$N$35,MOD(MONTH(K$4)-10,12)+1)</f>
        <v>35500</v>
      </c>
      <c r="L18" s="9" t="n">
        <f aca="false">INDEX(前提!$C$35:$N$35,MOD(MONTH(L$4)-10,12)+1)</f>
        <v>15705</v>
      </c>
      <c r="M18" s="9" t="n">
        <f aca="false">INDEX(前提!$C$35:$N$35,MOD(MONTH(M$4)-10,12)+1)</f>
        <v>22952</v>
      </c>
      <c r="N18" s="9" t="n">
        <f aca="false">INDEX(前提!$C$35:$N$35,MOD(MONTH(N$4)-10,12)+1)</f>
        <v>600</v>
      </c>
      <c r="O18" s="41" t="n">
        <f aca="false">SUM(C18:N18)</f>
        <v>7291552</v>
      </c>
    </row>
    <row r="19" customFormat="false" ht="15" hidden="false" customHeight="false" outlineLevel="0" collapsed="false">
      <c r="A19" s="8" t="s">
        <v>92</v>
      </c>
      <c r="C19" s="9" t="n">
        <f aca="false">INDEX(前提!$C$36:$N$36,MOD(MONTH(C$4)-10,12)+1)</f>
        <v>432715</v>
      </c>
      <c r="D19" s="9" t="n">
        <f aca="false">INDEX(前提!$C$36:$N$36,MOD(MONTH(D$4)-10,12)+1)</f>
        <v>441929</v>
      </c>
      <c r="E19" s="9" t="n">
        <f aca="false">INDEX(前提!$C$36:$N$36,MOD(MONTH(E$4)-10,12)+1)</f>
        <v>521112</v>
      </c>
      <c r="F19" s="9" t="n">
        <f aca="false">INDEX(前提!$C$36:$N$36,MOD(MONTH(F$4)-10,12)+1)</f>
        <v>505753</v>
      </c>
      <c r="G19" s="9" t="n">
        <f aca="false">INDEX(前提!$C$36:$N$36,MOD(MONTH(G$4)-10,12)+1)</f>
        <v>383240</v>
      </c>
      <c r="H19" s="9" t="n">
        <f aca="false">INDEX(前提!$C$36:$N$36,MOD(MONTH(H$4)-10,12)+1)</f>
        <v>494526</v>
      </c>
      <c r="I19" s="9" t="n">
        <f aca="false">INDEX(前提!$C$36:$N$36,MOD(MONTH(I$4)-10,12)+1)</f>
        <v>460352</v>
      </c>
      <c r="J19" s="9" t="n">
        <f aca="false">INDEX(前提!$C$36:$N$36,MOD(MONTH(J$4)-10,12)+1)</f>
        <v>424654</v>
      </c>
      <c r="K19" s="9" t="n">
        <f aca="false">INDEX(前提!$C$36:$N$36,MOD(MONTH(K$4)-10,12)+1)</f>
        <v>507425</v>
      </c>
      <c r="L19" s="9" t="n">
        <f aca="false">INDEX(前提!$C$36:$N$36,MOD(MONTH(L$4)-10,12)+1)</f>
        <v>515232</v>
      </c>
      <c r="M19" s="9" t="n">
        <f aca="false">INDEX(前提!$C$36:$N$36,MOD(MONTH(M$4)-10,12)+1)</f>
        <v>649918</v>
      </c>
      <c r="N19" s="9" t="n">
        <f aca="false">INDEX(前提!$C$36:$N$36,MOD(MONTH(N$4)-10,12)+1)</f>
        <v>518550</v>
      </c>
      <c r="O19" s="41" t="n">
        <f aca="false">SUM(C19:N19)</f>
        <v>5855406</v>
      </c>
    </row>
    <row r="20" customFormat="false" ht="15" hidden="false" customHeight="false" outlineLevel="0" collapsed="false">
      <c r="A20" s="8" t="s">
        <v>93</v>
      </c>
      <c r="C20" s="9" t="n">
        <f aca="false">INDEX(前提!$C$37:$N$37,MOD(MONTH(C$4)-10,12)+1)</f>
        <v>670756</v>
      </c>
      <c r="D20" s="9" t="n">
        <f aca="false">INDEX(前提!$C$37:$N$37,MOD(MONTH(D$4)-10,12)+1)</f>
        <v>2285363</v>
      </c>
      <c r="E20" s="9" t="n">
        <f aca="false">INDEX(前提!$C$37:$N$37,MOD(MONTH(E$4)-10,12)+1)</f>
        <v>1476545</v>
      </c>
      <c r="F20" s="9" t="n">
        <f aca="false">INDEX(前提!$C$37:$N$37,MOD(MONTH(F$4)-10,12)+1)</f>
        <v>680669</v>
      </c>
      <c r="G20" s="9" t="n">
        <f aca="false">INDEX(前提!$C$37:$N$37,MOD(MONTH(G$4)-10,12)+1)</f>
        <v>664213</v>
      </c>
      <c r="H20" s="9" t="n">
        <f aca="false">INDEX(前提!$C$37:$N$37,MOD(MONTH(H$4)-10,12)+1)</f>
        <v>1203941</v>
      </c>
      <c r="I20" s="9" t="n">
        <f aca="false">INDEX(前提!$C$37:$N$37,MOD(MONTH(I$4)-10,12)+1)</f>
        <v>788903</v>
      </c>
      <c r="J20" s="9" t="n">
        <f aca="false">INDEX(前提!$C$37:$N$37,MOD(MONTH(J$4)-10,12)+1)</f>
        <v>935455</v>
      </c>
      <c r="K20" s="9" t="n">
        <f aca="false">INDEX(前提!$C$37:$N$37,MOD(MONTH(K$4)-10,12)+1)</f>
        <v>831674</v>
      </c>
      <c r="L20" s="9" t="n">
        <f aca="false">INDEX(前提!$C$37:$N$37,MOD(MONTH(L$4)-10,12)+1)</f>
        <v>753886</v>
      </c>
      <c r="M20" s="9" t="n">
        <f aca="false">INDEX(前提!$C$37:$N$37,MOD(MONTH(M$4)-10,12)+1)</f>
        <v>413189</v>
      </c>
      <c r="N20" s="9" t="n">
        <f aca="false">INDEX(前提!$C$37:$N$37,MOD(MONTH(N$4)-10,12)+1)</f>
        <v>247264</v>
      </c>
      <c r="O20" s="41" t="n">
        <f aca="false">SUM(C20:N20)</f>
        <v>10951858</v>
      </c>
    </row>
    <row r="21" customFormat="false" ht="15" hidden="false" customHeight="false" outlineLevel="0" collapsed="false">
      <c r="A21" s="8" t="s">
        <v>94</v>
      </c>
      <c r="C21" s="9" t="n">
        <f aca="false">INDEX(前提!$C$38:$N$38,MOD(MONTH(C$4)-10,12)+1)</f>
        <v>73685</v>
      </c>
      <c r="D21" s="9" t="n">
        <f aca="false">INDEX(前提!$C$38:$N$38,MOD(MONTH(D$4)-10,12)+1)</f>
        <v>22043</v>
      </c>
      <c r="E21" s="9" t="n">
        <f aca="false">INDEX(前提!$C$38:$N$38,MOD(MONTH(E$4)-10,12)+1)</f>
        <v>30011</v>
      </c>
      <c r="F21" s="9" t="n">
        <f aca="false">INDEX(前提!$C$38:$N$38,MOD(MONTH(F$4)-10,12)+1)</f>
        <v>76544</v>
      </c>
      <c r="G21" s="9" t="n">
        <f aca="false">INDEX(前提!$C$38:$N$38,MOD(MONTH(G$4)-10,12)+1)</f>
        <v>122157</v>
      </c>
      <c r="H21" s="9" t="n">
        <f aca="false">INDEX(前提!$C$38:$N$38,MOD(MONTH(H$4)-10,12)+1)</f>
        <v>67497</v>
      </c>
      <c r="I21" s="9" t="n">
        <f aca="false">INDEX(前提!$C$38:$N$38,MOD(MONTH(I$4)-10,12)+1)</f>
        <v>315950</v>
      </c>
      <c r="J21" s="9" t="n">
        <f aca="false">INDEX(前提!$C$38:$N$38,MOD(MONTH(J$4)-10,12)+1)</f>
        <v>28725</v>
      </c>
      <c r="K21" s="9" t="n">
        <f aca="false">INDEX(前提!$C$38:$N$38,MOD(MONTH(K$4)-10,12)+1)</f>
        <v>25723</v>
      </c>
      <c r="L21" s="9" t="n">
        <f aca="false">INDEX(前提!$C$38:$N$38,MOD(MONTH(L$4)-10,12)+1)</f>
        <v>91475</v>
      </c>
      <c r="M21" s="9" t="n">
        <f aca="false">INDEX(前提!$C$38:$N$38,MOD(MONTH(M$4)-10,12)+1)</f>
        <v>151279</v>
      </c>
      <c r="N21" s="9" t="n">
        <f aca="false">INDEX(前提!$C$38:$N$38,MOD(MONTH(N$4)-10,12)+1)</f>
        <v>255843</v>
      </c>
      <c r="O21" s="41" t="n">
        <f aca="false">SUM(C21:N21)</f>
        <v>1260932</v>
      </c>
    </row>
    <row r="22" customFormat="false" ht="15" hidden="false" customHeight="false" outlineLevel="0" collapsed="false">
      <c r="A22" s="8" t="s">
        <v>95</v>
      </c>
      <c r="C22" s="9" t="n">
        <f aca="false">INDEX(前提!$C$39:$N$39,MOD(MONTH(C$4)-10,12)+1)</f>
        <v>128050</v>
      </c>
      <c r="D22" s="9" t="n">
        <f aca="false">INDEX(前提!$C$39:$N$39,MOD(MONTH(D$4)-10,12)+1)</f>
        <v>260032</v>
      </c>
      <c r="E22" s="9" t="n">
        <f aca="false">INDEX(前提!$C$39:$N$39,MOD(MONTH(E$4)-10,12)+1)</f>
        <v>261309</v>
      </c>
      <c r="F22" s="9" t="n">
        <f aca="false">INDEX(前提!$C$39:$N$39,MOD(MONTH(F$4)-10,12)+1)</f>
        <v>536843</v>
      </c>
      <c r="G22" s="9" t="n">
        <f aca="false">INDEX(前提!$C$39:$N$39,MOD(MONTH(G$4)-10,12)+1)</f>
        <v>317528</v>
      </c>
      <c r="H22" s="9" t="n">
        <f aca="false">INDEX(前提!$C$39:$N$39,MOD(MONTH(H$4)-10,12)+1)</f>
        <v>211905</v>
      </c>
      <c r="I22" s="9" t="n">
        <f aca="false">INDEX(前提!$C$39:$N$39,MOD(MONTH(I$4)-10,12)+1)</f>
        <v>263450</v>
      </c>
      <c r="J22" s="9" t="n">
        <f aca="false">INDEX(前提!$C$39:$N$39,MOD(MONTH(J$4)-10,12)+1)</f>
        <v>249595</v>
      </c>
      <c r="K22" s="9" t="n">
        <f aca="false">INDEX(前提!$C$39:$N$39,MOD(MONTH(K$4)-10,12)+1)</f>
        <v>255950</v>
      </c>
      <c r="L22" s="9" t="n">
        <f aca="false">INDEX(前提!$C$39:$N$39,MOD(MONTH(L$4)-10,12)+1)</f>
        <v>204095</v>
      </c>
      <c r="M22" s="9" t="n">
        <f aca="false">INDEX(前提!$C$39:$N$39,MOD(MONTH(M$4)-10,12)+1)</f>
        <v>228050</v>
      </c>
      <c r="N22" s="9" t="n">
        <f aca="false">INDEX(前提!$C$39:$N$39,MOD(MONTH(N$4)-10,12)+1)</f>
        <v>195150</v>
      </c>
      <c r="O22" s="41" t="n">
        <f aca="false">SUM(C22:N22)</f>
        <v>3111957</v>
      </c>
    </row>
    <row r="23" customFormat="false" ht="15" hidden="false" customHeight="false" outlineLevel="0" collapsed="false">
      <c r="A23" s="8" t="s">
        <v>111</v>
      </c>
      <c r="C23" s="9" t="n">
        <f aca="false">IF(MONTH(C$4)=前提!$B$13,前提!$B$14,0)</f>
        <v>0</v>
      </c>
      <c r="D23" s="9" t="n">
        <f aca="false">IF(MONTH(D$4)=前提!$B$13,前提!$B$14,0)</f>
        <v>1482884</v>
      </c>
      <c r="E23" s="9" t="n">
        <f aca="false">IF(MONTH(E$4)=前提!$B$13,前提!$B$14,0)</f>
        <v>0</v>
      </c>
      <c r="F23" s="9" t="n">
        <f aca="false">IF(MONTH(F$4)=前提!$B$13,前提!$B$14,0)</f>
        <v>0</v>
      </c>
      <c r="G23" s="9" t="n">
        <f aca="false">IF(MONTH(G$4)=前提!$B$13,前提!$B$14,0)</f>
        <v>0</v>
      </c>
      <c r="H23" s="9" t="n">
        <f aca="false">IF(MONTH(H$4)=前提!$B$13,前提!$B$14,0)</f>
        <v>0</v>
      </c>
      <c r="I23" s="9" t="n">
        <f aca="false">IF(MONTH(I$4)=前提!$B$13,前提!$B$14,0)</f>
        <v>0</v>
      </c>
      <c r="J23" s="9" t="n">
        <f aca="false">IF(MONTH(J$4)=前提!$B$13,前提!$B$14,0)</f>
        <v>0</v>
      </c>
      <c r="K23" s="9" t="n">
        <f aca="false">IF(MONTH(K$4)=前提!$B$13,前提!$B$14,0)</f>
        <v>0</v>
      </c>
      <c r="L23" s="9" t="n">
        <f aca="false">IF(MONTH(L$4)=前提!$B$13,前提!$B$14,0)</f>
        <v>0</v>
      </c>
      <c r="M23" s="9" t="n">
        <f aca="false">IF(MONTH(M$4)=前提!$B$13,前提!$B$14,0)</f>
        <v>0</v>
      </c>
      <c r="N23" s="9" t="n">
        <f aca="false">IF(MONTH(N$4)=前提!$B$13,前提!$B$14,0)</f>
        <v>0</v>
      </c>
      <c r="O23" s="41" t="n">
        <f aca="false">SUM(C23:N23)</f>
        <v>1482884</v>
      </c>
    </row>
    <row r="24" customFormat="false" ht="15" hidden="false" customHeight="false" outlineLevel="0" collapsed="false">
      <c r="A24" s="8" t="s">
        <v>112</v>
      </c>
      <c r="C24" s="42" t="n">
        <v>0</v>
      </c>
      <c r="D24" s="42" t="n">
        <v>0</v>
      </c>
      <c r="E24" s="42" t="n">
        <v>0</v>
      </c>
      <c r="F24" s="42" t="n">
        <v>0</v>
      </c>
      <c r="G24" s="42" t="n">
        <v>0</v>
      </c>
      <c r="H24" s="42" t="n">
        <v>0</v>
      </c>
      <c r="I24" s="42" t="n">
        <v>0</v>
      </c>
      <c r="J24" s="42" t="n">
        <v>0</v>
      </c>
      <c r="K24" s="42" t="n">
        <v>0</v>
      </c>
      <c r="L24" s="42" t="n">
        <v>0</v>
      </c>
      <c r="M24" s="42" t="n">
        <v>0</v>
      </c>
      <c r="N24" s="42" t="n">
        <v>0</v>
      </c>
      <c r="O24" s="41" t="n">
        <f aca="false">SUM(C24:N24)</f>
        <v>0</v>
      </c>
    </row>
    <row r="25" customFormat="false" ht="15" hidden="false" customHeight="false" outlineLevel="0" collapsed="false">
      <c r="A25" s="8" t="s">
        <v>113</v>
      </c>
      <c r="C25" s="42" t="n">
        <v>0</v>
      </c>
      <c r="D25" s="42" t="n">
        <v>0</v>
      </c>
      <c r="E25" s="42" t="n">
        <v>0</v>
      </c>
      <c r="F25" s="42" t="n">
        <v>0</v>
      </c>
      <c r="G25" s="42" t="n">
        <v>0</v>
      </c>
      <c r="H25" s="42" t="n">
        <v>0</v>
      </c>
      <c r="I25" s="42" t="n">
        <v>0</v>
      </c>
      <c r="J25" s="42" t="n">
        <v>0</v>
      </c>
      <c r="K25" s="42" t="n">
        <v>0</v>
      </c>
      <c r="L25" s="42" t="n">
        <v>0</v>
      </c>
      <c r="M25" s="42" t="n">
        <v>0</v>
      </c>
      <c r="N25" s="42" t="n">
        <v>0</v>
      </c>
      <c r="O25" s="41" t="n">
        <f aca="false">SUM(C25:N25)</f>
        <v>0</v>
      </c>
    </row>
    <row r="26" customFormat="false" ht="15" hidden="false" customHeight="false" outlineLevel="0" collapsed="false">
      <c r="A26" s="36" t="s">
        <v>114</v>
      </c>
      <c r="C26" s="43" t="n">
        <f aca="false">SUM(C15:C25)</f>
        <v>4316274</v>
      </c>
      <c r="D26" s="43" t="n">
        <f aca="false">SUM(D15:D25)</f>
        <v>7125666</v>
      </c>
      <c r="E26" s="43" t="n">
        <f aca="false">SUM(E15:E25)</f>
        <v>6382183</v>
      </c>
      <c r="F26" s="43" t="n">
        <f aca="false">SUM(F15:F25)</f>
        <v>4725656</v>
      </c>
      <c r="G26" s="43" t="n">
        <f aca="false">SUM(G15:G25)</f>
        <v>4492343</v>
      </c>
      <c r="H26" s="43" t="n">
        <f aca="false">SUM(H15:H25)</f>
        <v>4656907</v>
      </c>
      <c r="I26" s="43" t="n">
        <f aca="false">SUM(I15:I25)</f>
        <v>9661393</v>
      </c>
      <c r="J26" s="43" t="n">
        <f aca="false">SUM(J15:J25)</f>
        <v>5823645</v>
      </c>
      <c r="K26" s="43" t="n">
        <f aca="false">SUM(K15:K25)</f>
        <v>16295623</v>
      </c>
      <c r="L26" s="43" t="n">
        <f aca="false">SUM(L15:L25)</f>
        <v>6459211</v>
      </c>
      <c r="M26" s="43" t="n">
        <f aca="false">SUM(M15:M25)</f>
        <v>4149124</v>
      </c>
      <c r="N26" s="43" t="n">
        <f aca="false">SUM(N15:N25)</f>
        <v>15222577</v>
      </c>
      <c r="O26" s="41" t="n">
        <f aca="false">SUM(C26:N26)</f>
        <v>89310602</v>
      </c>
    </row>
    <row r="27" customFormat="false" ht="15" hidden="false" customHeight="false" outlineLevel="0" collapsed="false">
      <c r="A27" s="5" t="s">
        <v>115</v>
      </c>
      <c r="C27" s="44" t="n">
        <f aca="false">C13-C26</f>
        <v>-516005</v>
      </c>
      <c r="D27" s="44" t="n">
        <f aca="false">D13-D26</f>
        <v>-3325397</v>
      </c>
      <c r="E27" s="44" t="n">
        <f aca="false">E13-E26</f>
        <v>-2581914</v>
      </c>
      <c r="F27" s="44" t="n">
        <f aca="false">F13-F26</f>
        <v>-925387</v>
      </c>
      <c r="G27" s="44" t="n">
        <f aca="false">G13-G26</f>
        <v>-692074</v>
      </c>
      <c r="H27" s="44" t="n">
        <f aca="false">H13-H26</f>
        <v>-856638</v>
      </c>
      <c r="I27" s="44" t="n">
        <f aca="false">I13-I26</f>
        <v>-5861124</v>
      </c>
      <c r="J27" s="44" t="n">
        <f aca="false">J13-J26</f>
        <v>-2023376</v>
      </c>
      <c r="K27" s="44" t="n">
        <f aca="false">K13-K26</f>
        <v>-12495354</v>
      </c>
      <c r="L27" s="44" t="n">
        <f aca="false">L13-L26</f>
        <v>-2658942</v>
      </c>
      <c r="M27" s="44" t="n">
        <f aca="false">M13-M26</f>
        <v>-348855</v>
      </c>
      <c r="N27" s="44" t="n">
        <f aca="false">N13-N26</f>
        <v>-11422308</v>
      </c>
      <c r="O27" s="41" t="n">
        <f aca="false">SUM(C27:N27)</f>
        <v>-43707374</v>
      </c>
    </row>
    <row r="29" customFormat="false" ht="15" hidden="false" customHeight="false" outlineLevel="0" collapsed="false">
      <c r="A29" s="3" t="s">
        <v>116</v>
      </c>
      <c r="C29" s="45" t="n">
        <f aca="false">C6+C27</f>
        <v>207423442</v>
      </c>
      <c r="D29" s="45" t="n">
        <f aca="false">D6+D27</f>
        <v>204098045</v>
      </c>
      <c r="E29" s="45" t="n">
        <f aca="false">E6+E27</f>
        <v>201516131</v>
      </c>
      <c r="F29" s="45" t="n">
        <f aca="false">F6+F27</f>
        <v>200590744</v>
      </c>
      <c r="G29" s="45" t="n">
        <f aca="false">G6+G27</f>
        <v>199898670</v>
      </c>
      <c r="H29" s="45" t="n">
        <f aca="false">H6+H27</f>
        <v>199042032</v>
      </c>
      <c r="I29" s="45" t="n">
        <f aca="false">I6+I27</f>
        <v>193180908</v>
      </c>
      <c r="J29" s="45" t="n">
        <f aca="false">J6+J27</f>
        <v>191157532</v>
      </c>
      <c r="K29" s="45" t="n">
        <f aca="false">K6+K27</f>
        <v>178662178</v>
      </c>
      <c r="L29" s="45" t="n">
        <f aca="false">L6+L27</f>
        <v>176003236</v>
      </c>
      <c r="M29" s="45" t="n">
        <f aca="false">M6+M27</f>
        <v>175654381</v>
      </c>
      <c r="N29" s="45" t="n">
        <f aca="false">N6+N27</f>
        <v>164232073</v>
      </c>
      <c r="O29" s="45" t="n">
        <f aca="false">N29</f>
        <v>164232073</v>
      </c>
    </row>
    <row r="31" customFormat="false" ht="15" hidden="false" customHeight="false" outlineLevel="0" collapsed="false">
      <c r="A31" s="3" t="s">
        <v>117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customFormat="false" ht="15" hidden="false" customHeight="false" outlineLevel="0" collapsed="false">
      <c r="A32" s="8" t="s">
        <v>118</v>
      </c>
      <c r="C32" s="9" t="n">
        <f aca="false">IF(((YEAR(C$4)*12+MONTH(C$4))-(YEAR(前提!$B$20)*12+MONTH(前提!$B$20)))=0,-前提!$B$27,0)</f>
        <v>0</v>
      </c>
      <c r="D32" s="9" t="n">
        <f aca="false">IF(((YEAR(D$4)*12+MONTH(D$4))-(YEAR(前提!$B$20)*12+MONTH(前提!$B$20)))=0,-前提!$B$27,0)</f>
        <v>-39625000</v>
      </c>
      <c r="E32" s="9" t="n">
        <f aca="false">IF(((YEAR(E$4)*12+MONTH(E$4))-(YEAR(前提!$B$20)*12+MONTH(前提!$B$20)))=0,-前提!$B$27,0)</f>
        <v>0</v>
      </c>
      <c r="F32" s="9" t="n">
        <f aca="false">IF(((YEAR(F$4)*12+MONTH(F$4))-(YEAR(前提!$B$20)*12+MONTH(前提!$B$20)))=0,-前提!$B$27,0)</f>
        <v>0</v>
      </c>
      <c r="G32" s="9" t="n">
        <f aca="false">IF(((YEAR(G$4)*12+MONTH(G$4))-(YEAR(前提!$B$20)*12+MONTH(前提!$B$20)))=0,-前提!$B$27,0)</f>
        <v>0</v>
      </c>
      <c r="H32" s="9" t="n">
        <f aca="false">IF(((YEAR(H$4)*12+MONTH(H$4))-(YEAR(前提!$B$20)*12+MONTH(前提!$B$20)))=0,-前提!$B$27,0)</f>
        <v>0</v>
      </c>
      <c r="I32" s="9" t="n">
        <f aca="false">IF(((YEAR(I$4)*12+MONTH(I$4))-(YEAR(前提!$B$20)*12+MONTH(前提!$B$20)))=0,-前提!$B$27,0)</f>
        <v>0</v>
      </c>
      <c r="J32" s="9" t="n">
        <f aca="false">IF(((YEAR(J$4)*12+MONTH(J$4))-(YEAR(前提!$B$20)*12+MONTH(前提!$B$20)))=0,-前提!$B$27,0)</f>
        <v>0</v>
      </c>
      <c r="K32" s="9" t="n">
        <f aca="false">IF(((YEAR(K$4)*12+MONTH(K$4))-(YEAR(前提!$B$20)*12+MONTH(前提!$B$20)))=0,-前提!$B$27,0)</f>
        <v>0</v>
      </c>
      <c r="L32" s="9" t="n">
        <f aca="false">IF(((YEAR(L$4)*12+MONTH(L$4))-(YEAR(前提!$B$20)*12+MONTH(前提!$B$20)))=0,-前提!$B$27,0)</f>
        <v>0</v>
      </c>
      <c r="M32" s="9" t="n">
        <f aca="false">IF(((YEAR(M$4)*12+MONTH(M$4))-(YEAR(前提!$B$20)*12+MONTH(前提!$B$20)))=0,-前提!$B$27,0)</f>
        <v>0</v>
      </c>
      <c r="N32" s="9" t="n">
        <f aca="false">IF(((YEAR(N$4)*12+MONTH(N$4))-(YEAR(前提!$B$20)*12+MONTH(前提!$B$20)))=0,-前提!$B$27,0)</f>
        <v>0</v>
      </c>
      <c r="O32" s="41" t="n">
        <f aca="false">SUM(C32:N32)</f>
        <v>-39625000</v>
      </c>
    </row>
    <row r="33" customFormat="false" ht="15" hidden="false" customHeight="false" outlineLevel="0" collapsed="false">
      <c r="A33" s="8" t="s">
        <v>119</v>
      </c>
      <c r="C33" s="9" t="n">
        <f aca="false">IF(AND(((YEAR(C$4)*12+MONTH(C$4))-(YEAR(前提!$B$20)*12+MONTH(前提!$B$20)))&gt;0,((YEAR(C$4)*12+MONTH(C$4))-(YEAR(前提!$B$20)*12+MONTH(前提!$B$20)))&lt;=前提!$B$24,MOD(((YEAR(C$4)*12+MONTH(C$4))-(YEAR(前提!$B$20)*12+MONTH(前提!$B$20))),12/前提!$B$22)=0),前提!$B$17*前提!$B$21/前提!$B$22*前提!$B$25*(1-前提!$B$23),0)</f>
        <v>0</v>
      </c>
      <c r="D33" s="9" t="n">
        <f aca="false">IF(AND(((YEAR(D$4)*12+MONTH(D$4))-(YEAR(前提!$B$20)*12+MONTH(前提!$B$20)))&gt;0,((YEAR(D$4)*12+MONTH(D$4))-(YEAR(前提!$B$20)*12+MONTH(前提!$B$20)))&lt;=前提!$B$24,MOD(((YEAR(D$4)*12+MONTH(D$4))-(YEAR(前提!$B$20)*12+MONTH(前提!$B$20))),12/前提!$B$22)=0),前提!$B$17*前提!$B$21/前提!$B$22*前提!$B$25*(1-前提!$B$23),0)</f>
        <v>0</v>
      </c>
      <c r="E33" s="9" t="n">
        <f aca="false">IF(AND(((YEAR(E$4)*12+MONTH(E$4))-(YEAR(前提!$B$20)*12+MONTH(前提!$B$20)))&gt;0,((YEAR(E$4)*12+MONTH(E$4))-(YEAR(前提!$B$20)*12+MONTH(前提!$B$20)))&lt;=前提!$B$24,MOD(((YEAR(E$4)*12+MONTH(E$4))-(YEAR(前提!$B$20)*12+MONTH(前提!$B$20))),12/前提!$B$22)=0),前提!$B$17*前提!$B$21/前提!$B$22*前提!$B$25*(1-前提!$B$23),0)</f>
        <v>0</v>
      </c>
      <c r="F33" s="9" t="n">
        <f aca="false">IF(AND(((YEAR(F$4)*12+MONTH(F$4))-(YEAR(前提!$B$20)*12+MONTH(前提!$B$20)))&gt;0,((YEAR(F$4)*12+MONTH(F$4))-(YEAR(前提!$B$20)*12+MONTH(前提!$B$20)))&lt;=前提!$B$24,MOD(((YEAR(F$4)*12+MONTH(F$4))-(YEAR(前提!$B$20)*12+MONTH(前提!$B$20))),12/前提!$B$22)=0),前提!$B$17*前提!$B$21/前提!$B$22*前提!$B$25*(1-前提!$B$23),0)</f>
        <v>0</v>
      </c>
      <c r="G33" s="9" t="n">
        <f aca="false">IF(AND(((YEAR(G$4)*12+MONTH(G$4))-(YEAR(前提!$B$20)*12+MONTH(前提!$B$20)))&gt;0,((YEAR(G$4)*12+MONTH(G$4))-(YEAR(前提!$B$20)*12+MONTH(前提!$B$20)))&lt;=前提!$B$24,MOD(((YEAR(G$4)*12+MONTH(G$4))-(YEAR(前提!$B$20)*12+MONTH(前提!$B$20))),12/前提!$B$22)=0),前提!$B$17*前提!$B$21/前提!$B$22*前提!$B$25*(1-前提!$B$23),0)</f>
        <v>0</v>
      </c>
      <c r="H33" s="9" t="n">
        <f aca="false">IF(AND(((YEAR(H$4)*12+MONTH(H$4))-(YEAR(前提!$B$20)*12+MONTH(前提!$B$20)))&gt;0,((YEAR(H$4)*12+MONTH(H$4))-(YEAR(前提!$B$20)*12+MONTH(前提!$B$20)))&lt;=前提!$B$24,MOD(((YEAR(H$4)*12+MONTH(H$4))-(YEAR(前提!$B$20)*12+MONTH(前提!$B$20))),12/前提!$B$22)=0),前提!$B$17*前提!$B$21/前提!$B$22*前提!$B$25*(1-前提!$B$23),0)</f>
        <v>0</v>
      </c>
      <c r="I33" s="9" t="n">
        <f aca="false">IF(AND(((YEAR(I$4)*12+MONTH(I$4))-(YEAR(前提!$B$20)*12+MONTH(前提!$B$20)))&gt;0,((YEAR(I$4)*12+MONTH(I$4))-(YEAR(前提!$B$20)*12+MONTH(前提!$B$20)))&lt;=前提!$B$24,MOD(((YEAR(I$4)*12+MONTH(I$4))-(YEAR(前提!$B$20)*12+MONTH(前提!$B$20))),12/前提!$B$22)=0),前提!$B$17*前提!$B$21/前提!$B$22*前提!$B$25*(1-前提!$B$23),0)</f>
        <v>0</v>
      </c>
      <c r="J33" s="9" t="n">
        <f aca="false">IF(AND(((YEAR(J$4)*12+MONTH(J$4))-(YEAR(前提!$B$20)*12+MONTH(前提!$B$20)))&gt;0,((YEAR(J$4)*12+MONTH(J$4))-(YEAR(前提!$B$20)*12+MONTH(前提!$B$20)))&lt;=前提!$B$24,MOD(((YEAR(J$4)*12+MONTH(J$4))-(YEAR(前提!$B$20)*12+MONTH(前提!$B$20))),12/前提!$B$22)=0),前提!$B$17*前提!$B$21/前提!$B$22*前提!$B$25*(1-前提!$B$23),0)</f>
        <v>1170770.125</v>
      </c>
      <c r="K33" s="9" t="n">
        <f aca="false">IF(AND(((YEAR(K$4)*12+MONTH(K$4))-(YEAR(前提!$B$20)*12+MONTH(前提!$B$20)))&gt;0,((YEAR(K$4)*12+MONTH(K$4))-(YEAR(前提!$B$20)*12+MONTH(前提!$B$20)))&lt;=前提!$B$24,MOD(((YEAR(K$4)*12+MONTH(K$4))-(YEAR(前提!$B$20)*12+MONTH(前提!$B$20))),12/前提!$B$22)=0),前提!$B$17*前提!$B$21/前提!$B$22*前提!$B$25*(1-前提!$B$23),0)</f>
        <v>0</v>
      </c>
      <c r="L33" s="9" t="n">
        <f aca="false">IF(AND(((YEAR(L$4)*12+MONTH(L$4))-(YEAR(前提!$B$20)*12+MONTH(前提!$B$20)))&gt;0,((YEAR(L$4)*12+MONTH(L$4))-(YEAR(前提!$B$20)*12+MONTH(前提!$B$20)))&lt;=前提!$B$24,MOD(((YEAR(L$4)*12+MONTH(L$4))-(YEAR(前提!$B$20)*12+MONTH(前提!$B$20))),12/前提!$B$22)=0),前提!$B$17*前提!$B$21/前提!$B$22*前提!$B$25*(1-前提!$B$23),0)</f>
        <v>0</v>
      </c>
      <c r="M33" s="9" t="n">
        <f aca="false">IF(AND(((YEAR(M$4)*12+MONTH(M$4))-(YEAR(前提!$B$20)*12+MONTH(前提!$B$20)))&gt;0,((YEAR(M$4)*12+MONTH(M$4))-(YEAR(前提!$B$20)*12+MONTH(前提!$B$20)))&lt;=前提!$B$24,MOD(((YEAR(M$4)*12+MONTH(M$4))-(YEAR(前提!$B$20)*12+MONTH(前提!$B$20))),12/前提!$B$22)=0),前提!$B$17*前提!$B$21/前提!$B$22*前提!$B$25*(1-前提!$B$23),0)</f>
        <v>0</v>
      </c>
      <c r="N33" s="9" t="n">
        <f aca="false">IF(AND(((YEAR(N$4)*12+MONTH(N$4))-(YEAR(前提!$B$20)*12+MONTH(前提!$B$20)))&gt;0,((YEAR(N$4)*12+MONTH(N$4))-(YEAR(前提!$B$20)*12+MONTH(前提!$B$20)))&lt;=前提!$B$24,MOD(((YEAR(N$4)*12+MONTH(N$4))-(YEAR(前提!$B$20)*12+MONTH(前提!$B$20))),12/前提!$B$22)=0),前提!$B$17*前提!$B$21/前提!$B$22*前提!$B$25*(1-前提!$B$23),0)</f>
        <v>0</v>
      </c>
      <c r="O33" s="41" t="n">
        <f aca="false">SUM(C33:N33)</f>
        <v>1170770.125</v>
      </c>
    </row>
    <row r="34" customFormat="false" ht="15" hidden="false" customHeight="false" outlineLevel="0" collapsed="false">
      <c r="A34" s="8" t="s">
        <v>120</v>
      </c>
      <c r="C34" s="9" t="n">
        <f aca="false">IF(((YEAR(C$4)*12+MONTH(C$4))-(YEAR(前提!$B$20)*12+MONTH(前提!$B$20)))=前提!$B$24,前提!$B$17*前提!$B$26,0)</f>
        <v>0</v>
      </c>
      <c r="D34" s="9" t="n">
        <f aca="false">IF(((YEAR(D$4)*12+MONTH(D$4))-(YEAR(前提!$B$20)*12+MONTH(前提!$B$20)))=前提!$B$24,前提!$B$17*前提!$B$26,0)</f>
        <v>0</v>
      </c>
      <c r="E34" s="9" t="n">
        <f aca="false">IF(((YEAR(E$4)*12+MONTH(E$4))-(YEAR(前提!$B$20)*12+MONTH(前提!$B$20)))=前提!$B$24,前提!$B$17*前提!$B$26,0)</f>
        <v>0</v>
      </c>
      <c r="F34" s="9" t="n">
        <f aca="false">IF(((YEAR(F$4)*12+MONTH(F$4))-(YEAR(前提!$B$20)*12+MONTH(前提!$B$20)))=前提!$B$24,前提!$B$17*前提!$B$26,0)</f>
        <v>0</v>
      </c>
      <c r="G34" s="9" t="n">
        <f aca="false">IF(((YEAR(G$4)*12+MONTH(G$4))-(YEAR(前提!$B$20)*12+MONTH(前提!$B$20)))=前提!$B$24,前提!$B$17*前提!$B$26,0)</f>
        <v>0</v>
      </c>
      <c r="H34" s="9" t="n">
        <f aca="false">IF(((YEAR(H$4)*12+MONTH(H$4))-(YEAR(前提!$B$20)*12+MONTH(前提!$B$20)))=前提!$B$24,前提!$B$17*前提!$B$26,0)</f>
        <v>0</v>
      </c>
      <c r="I34" s="9" t="n">
        <f aca="false">IF(((YEAR(I$4)*12+MONTH(I$4))-(YEAR(前提!$B$20)*12+MONTH(前提!$B$20)))=前提!$B$24,前提!$B$17*前提!$B$26,0)</f>
        <v>0</v>
      </c>
      <c r="J34" s="9" t="n">
        <f aca="false">IF(((YEAR(J$4)*12+MONTH(J$4))-(YEAR(前提!$B$20)*12+MONTH(前提!$B$20)))=前提!$B$24,前提!$B$17*前提!$B$26,0)</f>
        <v>0</v>
      </c>
      <c r="K34" s="9" t="n">
        <f aca="false">IF(((YEAR(K$4)*12+MONTH(K$4))-(YEAR(前提!$B$20)*12+MONTH(前提!$B$20)))=前提!$B$24,前提!$B$17*前提!$B$26,0)</f>
        <v>0</v>
      </c>
      <c r="L34" s="9" t="n">
        <f aca="false">IF(((YEAR(L$4)*12+MONTH(L$4))-(YEAR(前提!$B$20)*12+MONTH(前提!$B$20)))=前提!$B$24,前提!$B$17*前提!$B$26,0)</f>
        <v>0</v>
      </c>
      <c r="M34" s="9" t="n">
        <f aca="false">IF(((YEAR(M$4)*12+MONTH(M$4))-(YEAR(前提!$B$20)*12+MONTH(前提!$B$20)))=前提!$B$24,前提!$B$17*前提!$B$26,0)</f>
        <v>0</v>
      </c>
      <c r="N34" s="9" t="n">
        <f aca="false">IF(((YEAR(N$4)*12+MONTH(N$4))-(YEAR(前提!$B$20)*12+MONTH(前提!$B$20)))=前提!$B$24,前提!$B$17*前提!$B$26,0)</f>
        <v>0</v>
      </c>
      <c r="O34" s="41" t="n">
        <f aca="false">SUM(C34:N34)</f>
        <v>0</v>
      </c>
    </row>
    <row r="35" customFormat="false" ht="15" hidden="false" customHeight="false" outlineLevel="0" collapsed="false">
      <c r="A35" s="36" t="s">
        <v>121</v>
      </c>
      <c r="C35" s="43" t="n">
        <f aca="false">SUM(C32:C34)</f>
        <v>0</v>
      </c>
      <c r="D35" s="43" t="n">
        <f aca="false">SUM(D32:D34)</f>
        <v>-39625000</v>
      </c>
      <c r="E35" s="43" t="n">
        <f aca="false">SUM(E32:E34)</f>
        <v>0</v>
      </c>
      <c r="F35" s="43" t="n">
        <f aca="false">SUM(F32:F34)</f>
        <v>0</v>
      </c>
      <c r="G35" s="43" t="n">
        <f aca="false">SUM(G32:G34)</f>
        <v>0</v>
      </c>
      <c r="H35" s="43" t="n">
        <f aca="false">SUM(H32:H34)</f>
        <v>0</v>
      </c>
      <c r="I35" s="43" t="n">
        <f aca="false">SUM(I32:I34)</f>
        <v>0</v>
      </c>
      <c r="J35" s="43" t="n">
        <f aca="false">SUM(J32:J34)</f>
        <v>1170770.125</v>
      </c>
      <c r="K35" s="43" t="n">
        <f aca="false">SUM(K32:K34)</f>
        <v>0</v>
      </c>
      <c r="L35" s="43" t="n">
        <f aca="false">SUM(L32:L34)</f>
        <v>0</v>
      </c>
      <c r="M35" s="43" t="n">
        <f aca="false">SUM(M32:M34)</f>
        <v>0</v>
      </c>
      <c r="N35" s="43" t="n">
        <f aca="false">SUM(N32:N34)</f>
        <v>0</v>
      </c>
      <c r="O35" s="41" t="n">
        <f aca="false">SUM(C35:N35)</f>
        <v>-38454229.875</v>
      </c>
    </row>
    <row r="36" customFormat="false" ht="15" hidden="false" customHeight="false" outlineLevel="0" collapsed="false">
      <c r="A36" s="8" t="s">
        <v>122</v>
      </c>
      <c r="C36" s="10" t="n">
        <f aca="false">C35</f>
        <v>0</v>
      </c>
      <c r="D36" s="10" t="n">
        <f aca="false">C36+D35</f>
        <v>-39625000</v>
      </c>
      <c r="E36" s="10" t="n">
        <f aca="false">D36+E35</f>
        <v>-39625000</v>
      </c>
      <c r="F36" s="10" t="n">
        <f aca="false">E36+F35</f>
        <v>-39625000</v>
      </c>
      <c r="G36" s="10" t="n">
        <f aca="false">F36+G35</f>
        <v>-39625000</v>
      </c>
      <c r="H36" s="10" t="n">
        <f aca="false">G36+H35</f>
        <v>-39625000</v>
      </c>
      <c r="I36" s="10" t="n">
        <f aca="false">H36+I35</f>
        <v>-39625000</v>
      </c>
      <c r="J36" s="10" t="n">
        <f aca="false">I36+J35</f>
        <v>-38454229.875</v>
      </c>
      <c r="K36" s="10" t="n">
        <f aca="false">J36+K35</f>
        <v>-38454229.875</v>
      </c>
      <c r="L36" s="10" t="n">
        <f aca="false">K36+L35</f>
        <v>-38454229.875</v>
      </c>
      <c r="M36" s="10" t="n">
        <f aca="false">L36+M35</f>
        <v>-38454229.875</v>
      </c>
      <c r="N36" s="10" t="n">
        <f aca="false">M36+N35</f>
        <v>-38454229.875</v>
      </c>
      <c r="O36" s="41" t="n">
        <f aca="false">N36</f>
        <v>-38454229.875</v>
      </c>
    </row>
    <row r="37" customFormat="false" ht="15" hidden="false" customHeight="false" outlineLevel="0" collapsed="false">
      <c r="A37" s="3" t="s">
        <v>123</v>
      </c>
      <c r="C37" s="45" t="n">
        <f aca="false">C29+C36</f>
        <v>207423442</v>
      </c>
      <c r="D37" s="45" t="n">
        <f aca="false">D29+D36</f>
        <v>164473045</v>
      </c>
      <c r="E37" s="45" t="n">
        <f aca="false">E29+E36</f>
        <v>161891131</v>
      </c>
      <c r="F37" s="45" t="n">
        <f aca="false">F29+F36</f>
        <v>160965744</v>
      </c>
      <c r="G37" s="45" t="n">
        <f aca="false">G29+G36</f>
        <v>160273670</v>
      </c>
      <c r="H37" s="45" t="n">
        <f aca="false">H29+H36</f>
        <v>159417032</v>
      </c>
      <c r="I37" s="45" t="n">
        <f aca="false">I29+I36</f>
        <v>153555908</v>
      </c>
      <c r="J37" s="45" t="n">
        <f aca="false">J29+J36</f>
        <v>152703302.125</v>
      </c>
      <c r="K37" s="45" t="n">
        <f aca="false">K29+K36</f>
        <v>140207948.125</v>
      </c>
      <c r="L37" s="45" t="n">
        <f aca="false">L29+L36</f>
        <v>137549006.125</v>
      </c>
      <c r="M37" s="45" t="n">
        <f aca="false">M29+M36</f>
        <v>137200151.125</v>
      </c>
      <c r="N37" s="45" t="n">
        <f aca="false">N29+N36</f>
        <v>125777843.125</v>
      </c>
      <c r="O37" s="45" t="n">
        <f aca="false">N37</f>
        <v>125777843.125</v>
      </c>
    </row>
    <row r="38" customFormat="false" ht="15" hidden="false" customHeight="false" outlineLevel="0" collapsed="false">
      <c r="A38" s="8" t="s">
        <v>124</v>
      </c>
      <c r="C38" s="10" t="n">
        <f aca="false">C37-C29</f>
        <v>0</v>
      </c>
      <c r="D38" s="10" t="n">
        <f aca="false">D37-D29</f>
        <v>-39625000</v>
      </c>
      <c r="E38" s="10" t="n">
        <f aca="false">E37-E29</f>
        <v>-39625000</v>
      </c>
      <c r="F38" s="10" t="n">
        <f aca="false">F37-F29</f>
        <v>-39625000</v>
      </c>
      <c r="G38" s="10" t="n">
        <f aca="false">G37-G29</f>
        <v>-39625000</v>
      </c>
      <c r="H38" s="10" t="n">
        <f aca="false">H37-H29</f>
        <v>-39625000</v>
      </c>
      <c r="I38" s="10" t="n">
        <f aca="false">I37-I29</f>
        <v>-39625000</v>
      </c>
      <c r="J38" s="10" t="n">
        <f aca="false">J37-J29</f>
        <v>-38454229.875</v>
      </c>
      <c r="K38" s="10" t="n">
        <f aca="false">K37-K29</f>
        <v>-38454229.875</v>
      </c>
      <c r="L38" s="10" t="n">
        <f aca="false">L37-L29</f>
        <v>-38454229.875</v>
      </c>
      <c r="M38" s="10" t="n">
        <f aca="false">M37-M29</f>
        <v>-38454229.875</v>
      </c>
      <c r="N38" s="10" t="n">
        <f aca="false">N37-N29</f>
        <v>-38454229.875</v>
      </c>
      <c r="O38" s="10" t="n">
        <f aca="false">O37-O29</f>
        <v>-38454229.875</v>
      </c>
    </row>
    <row r="40" customFormat="false" ht="15" hidden="false" customHeight="false" outlineLevel="0" collapsed="false">
      <c r="A40" s="2" t="s">
        <v>125</v>
      </c>
    </row>
    <row r="41" customFormat="false" ht="15" hidden="false" customHeight="false" outlineLevel="0" collapsed="false">
      <c r="A41" s="2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7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17" t="s">
        <v>127</v>
      </c>
    </row>
    <row r="2" customFormat="false" ht="15" hidden="false" customHeight="false" outlineLevel="0" collapsed="false">
      <c r="A2" s="2" t="s">
        <v>128</v>
      </c>
    </row>
    <row r="4" customFormat="false" ht="31.5" hidden="false" customHeight="true" outlineLevel="0" collapsed="false">
      <c r="A4" s="39" t="s">
        <v>129</v>
      </c>
      <c r="B4" s="39" t="s">
        <v>130</v>
      </c>
      <c r="C4" s="39" t="s">
        <v>131</v>
      </c>
      <c r="D4" s="39" t="s">
        <v>132</v>
      </c>
      <c r="E4" s="39" t="s">
        <v>133</v>
      </c>
      <c r="F4" s="39" t="s">
        <v>134</v>
      </c>
      <c r="G4" s="39" t="s">
        <v>135</v>
      </c>
      <c r="H4" s="39" t="s">
        <v>136</v>
      </c>
    </row>
    <row r="5" customFormat="false" ht="39.55" hidden="false" customHeight="false" outlineLevel="0" collapsed="false">
      <c r="A5" s="8" t="s">
        <v>90</v>
      </c>
      <c r="B5" s="46" t="n">
        <v>16714334</v>
      </c>
      <c r="C5" s="46" t="n">
        <v>24221849</v>
      </c>
      <c r="D5" s="21" t="n">
        <f aca="false">実績!N14</f>
        <v>24617595</v>
      </c>
      <c r="E5" s="25" t="n">
        <f aca="false">D5-C5</f>
        <v>395746</v>
      </c>
      <c r="F5" s="47" t="n">
        <f aca="false">IF(C5=0,"-",E5/C5)</f>
        <v>0.0163383893607792</v>
      </c>
      <c r="G5" s="48" t="n">
        <f aca="false">D5/D$24</f>
        <v>0.312492248813118</v>
      </c>
      <c r="H5" s="22" t="s">
        <v>137</v>
      </c>
    </row>
    <row r="6" customFormat="false" ht="15" hidden="false" customHeight="false" outlineLevel="0" collapsed="false">
      <c r="A6" s="8" t="s">
        <v>88</v>
      </c>
      <c r="B6" s="46" t="n">
        <v>10800000</v>
      </c>
      <c r="C6" s="46" t="n">
        <v>12300000</v>
      </c>
      <c r="D6" s="21" t="n">
        <f aca="false">実績!N9</f>
        <v>12300000</v>
      </c>
      <c r="E6" s="25" t="n">
        <f aca="false">D6-C6</f>
        <v>0</v>
      </c>
      <c r="F6" s="47" t="n">
        <f aca="false">IF(C6=0,"-",E6/C6)</f>
        <v>0</v>
      </c>
      <c r="G6" s="48" t="n">
        <f aca="false">D6/D$24</f>
        <v>0.156134450193098</v>
      </c>
      <c r="H6" s="22" t="s">
        <v>138</v>
      </c>
    </row>
    <row r="7" customFormat="false" ht="15" hidden="false" customHeight="false" outlineLevel="0" collapsed="false">
      <c r="A7" s="8" t="s">
        <v>139</v>
      </c>
      <c r="B7" s="46" t="n">
        <v>8183403</v>
      </c>
      <c r="C7" s="46" t="n">
        <v>8183556</v>
      </c>
      <c r="D7" s="21" t="n">
        <f aca="false">実績!N18</f>
        <v>9044839</v>
      </c>
      <c r="E7" s="25" t="n">
        <f aca="false">D7-C7</f>
        <v>861283</v>
      </c>
      <c r="F7" s="47" t="n">
        <f aca="false">IF(C7=0,"-",E7/C7)</f>
        <v>0.105245568063566</v>
      </c>
      <c r="G7" s="48" t="n">
        <f aca="false">D7/D$24</f>
        <v>0.114813899540658</v>
      </c>
      <c r="H7" s="22" t="s">
        <v>140</v>
      </c>
    </row>
    <row r="8" customFormat="false" ht="15" hidden="false" customHeight="false" outlineLevel="0" collapsed="false">
      <c r="A8" s="8" t="s">
        <v>91</v>
      </c>
      <c r="B8" s="46" t="n">
        <v>8471002</v>
      </c>
      <c r="C8" s="46" t="n">
        <v>7581824</v>
      </c>
      <c r="D8" s="21" t="n">
        <f aca="false">実績!N15</f>
        <v>7291552</v>
      </c>
      <c r="E8" s="25" t="n">
        <f aca="false">D8-C8</f>
        <v>-290272</v>
      </c>
      <c r="F8" s="47" t="n">
        <f aca="false">IF(C8=0,"-",E8/C8)</f>
        <v>-0.0382852463998109</v>
      </c>
      <c r="G8" s="48" t="n">
        <f aca="false">D8/D$24</f>
        <v>0.0925579237865351</v>
      </c>
      <c r="H8" s="28" t="s">
        <v>141</v>
      </c>
    </row>
    <row r="9" customFormat="false" ht="15" hidden="false" customHeight="false" outlineLevel="0" collapsed="false">
      <c r="A9" s="8" t="s">
        <v>142</v>
      </c>
      <c r="B9" s="46" t="n">
        <v>6136056</v>
      </c>
      <c r="C9" s="46" t="n">
        <v>7872787</v>
      </c>
      <c r="D9" s="21" t="n">
        <f aca="false">実績!N10</f>
        <v>6215372</v>
      </c>
      <c r="E9" s="25" t="n">
        <f aca="false">D9-C9</f>
        <v>-1657415</v>
      </c>
      <c r="F9" s="47" t="n">
        <f aca="false">IF(C9=0,"-",E9/C9)</f>
        <v>-0.210524557567733</v>
      </c>
      <c r="G9" s="48" t="n">
        <f aca="false">D9/D$24</f>
        <v>0.0788970479646808</v>
      </c>
      <c r="H9" s="22" t="s">
        <v>143</v>
      </c>
    </row>
    <row r="10" customFormat="false" ht="15" hidden="false" customHeight="false" outlineLevel="0" collapsed="false">
      <c r="A10" s="8" t="s">
        <v>144</v>
      </c>
      <c r="B10" s="46" t="n">
        <v>3373131</v>
      </c>
      <c r="C10" s="46" t="n">
        <v>3816552</v>
      </c>
      <c r="D10" s="21" t="n">
        <f aca="false">実績!N13</f>
        <v>4820303</v>
      </c>
      <c r="E10" s="25" t="n">
        <f aca="false">D10-C10</f>
        <v>1003751</v>
      </c>
      <c r="F10" s="47" t="n">
        <f aca="false">IF(C10=0,"-",E10/C10)</f>
        <v>0.262999429851866</v>
      </c>
      <c r="G10" s="48" t="n">
        <f aca="false">D10/D$24</f>
        <v>0.0611882405422065</v>
      </c>
      <c r="H10" s="22" t="s">
        <v>145</v>
      </c>
    </row>
    <row r="11" customFormat="false" ht="15" hidden="false" customHeight="false" outlineLevel="0" collapsed="false">
      <c r="A11" s="8" t="s">
        <v>146</v>
      </c>
      <c r="B11" s="46" t="n">
        <v>3218205</v>
      </c>
      <c r="C11" s="46" t="n">
        <v>3555319</v>
      </c>
      <c r="D11" s="21" t="n">
        <f aca="false">実績!N17</f>
        <v>3566993</v>
      </c>
      <c r="E11" s="25" t="n">
        <f aca="false">D11-C11</f>
        <v>11674</v>
      </c>
      <c r="F11" s="47" t="n">
        <f aca="false">IF(C11=0,"-",E11/C11)</f>
        <v>0.00328353095741901</v>
      </c>
      <c r="G11" s="48" t="n">
        <f aca="false">D11/D$24</f>
        <v>0.0452789016989942</v>
      </c>
      <c r="H11" s="28"/>
    </row>
    <row r="12" customFormat="false" ht="15" hidden="false" customHeight="false" outlineLevel="0" collapsed="false">
      <c r="A12" s="8" t="s">
        <v>147</v>
      </c>
      <c r="B12" s="46" t="n">
        <v>2176488</v>
      </c>
      <c r="C12" s="46" t="n">
        <v>2249822</v>
      </c>
      <c r="D12" s="21" t="n">
        <f aca="false">実績!N16</f>
        <v>2288413</v>
      </c>
      <c r="E12" s="25" t="n">
        <f aca="false">D12-C12</f>
        <v>38591</v>
      </c>
      <c r="F12" s="47" t="n">
        <f aca="false">IF(C12=0,"-",E12/C12)</f>
        <v>0.0171529125415255</v>
      </c>
      <c r="G12" s="48" t="n">
        <f aca="false">D12/D$24</f>
        <v>0.0290487890707104</v>
      </c>
      <c r="H12" s="28"/>
    </row>
    <row r="13" customFormat="false" ht="15" hidden="false" customHeight="false" outlineLevel="0" collapsed="false">
      <c r="A13" s="8" t="s">
        <v>148</v>
      </c>
      <c r="B13" s="46" t="n">
        <v>2081082</v>
      </c>
      <c r="C13" s="46" t="n">
        <v>1627291</v>
      </c>
      <c r="D13" s="21" t="n">
        <f aca="false">実績!N19</f>
        <v>1907019</v>
      </c>
      <c r="E13" s="25" t="n">
        <f aca="false">D13-C13</f>
        <v>279728</v>
      </c>
      <c r="F13" s="47" t="n">
        <f aca="false">IF(C13=0,"-",E13/C13)</f>
        <v>0.171897958017343</v>
      </c>
      <c r="G13" s="48" t="n">
        <f aca="false">D13/D$24</f>
        <v>0.0242074278920968</v>
      </c>
      <c r="H13" s="28"/>
    </row>
    <row r="14" customFormat="false" ht="15" hidden="false" customHeight="false" outlineLevel="0" collapsed="false">
      <c r="A14" s="8" t="s">
        <v>149</v>
      </c>
      <c r="B14" s="46" t="n">
        <v>381113</v>
      </c>
      <c r="C14" s="46" t="n">
        <v>1607693</v>
      </c>
      <c r="D14" s="21" t="n">
        <f aca="false">実績!N12</f>
        <v>1703283</v>
      </c>
      <c r="E14" s="25" t="n">
        <f aca="false">D14-C14</f>
        <v>95590</v>
      </c>
      <c r="F14" s="47" t="n">
        <f aca="false">IF(C14=0,"-",E14/C14)</f>
        <v>0.059457869132975</v>
      </c>
      <c r="G14" s="48" t="n">
        <f aca="false">D14/D$24</f>
        <v>0.0216212320917276</v>
      </c>
      <c r="H14" s="28"/>
    </row>
    <row r="15" customFormat="false" ht="15" hidden="false" customHeight="false" outlineLevel="0" collapsed="false">
      <c r="A15" s="8" t="s">
        <v>150</v>
      </c>
      <c r="B15" s="46" t="n">
        <v>2298300</v>
      </c>
      <c r="C15" s="46" t="n">
        <v>2638934</v>
      </c>
      <c r="D15" s="21" t="n">
        <f aca="false">実績!N23</f>
        <v>1722251</v>
      </c>
      <c r="E15" s="25" t="n">
        <f aca="false">D15-C15</f>
        <v>-916683</v>
      </c>
      <c r="F15" s="47" t="n">
        <f aca="false">IF(C15=0,"-",E15/C15)</f>
        <v>-0.347368672350275</v>
      </c>
      <c r="G15" s="48" t="n">
        <f aca="false">D15/D$24</f>
        <v>0.0218620091853262</v>
      </c>
      <c r="H15" s="22" t="s">
        <v>151</v>
      </c>
    </row>
    <row r="16" customFormat="false" ht="15" hidden="false" customHeight="false" outlineLevel="0" collapsed="false">
      <c r="A16" s="8" t="s">
        <v>152</v>
      </c>
      <c r="B16" s="46" t="n">
        <v>1431588</v>
      </c>
      <c r="C16" s="46" t="n">
        <v>1409060</v>
      </c>
      <c r="D16" s="21" t="n">
        <f aca="false">実績!N24</f>
        <v>1321156</v>
      </c>
      <c r="E16" s="25" t="n">
        <f aca="false">D16-C16</f>
        <v>-87904</v>
      </c>
      <c r="F16" s="47" t="n">
        <f aca="false">IF(C16=0,"-",E16/C16)</f>
        <v>-0.0623848523128894</v>
      </c>
      <c r="G16" s="48" t="n">
        <f aca="false">D16/D$24</f>
        <v>0.0167705663153912</v>
      </c>
      <c r="H16" s="28"/>
    </row>
    <row r="17" customFormat="false" ht="15" hidden="false" customHeight="false" outlineLevel="0" collapsed="false">
      <c r="A17" s="8" t="s">
        <v>153</v>
      </c>
      <c r="B17" s="46" t="n">
        <v>1468482</v>
      </c>
      <c r="C17" s="46" t="n">
        <v>650000</v>
      </c>
      <c r="D17" s="21" t="n">
        <f aca="false">実績!N11</f>
        <v>650000</v>
      </c>
      <c r="E17" s="25" t="n">
        <f aca="false">D17-C17</f>
        <v>0</v>
      </c>
      <c r="F17" s="47" t="n">
        <f aca="false">IF(C17=0,"-",E17/C17)</f>
        <v>0</v>
      </c>
      <c r="G17" s="48" t="n">
        <f aca="false">D17/D$24</f>
        <v>0.00825100753052955</v>
      </c>
      <c r="H17" s="28"/>
    </row>
    <row r="18" customFormat="false" ht="15" hidden="false" customHeight="false" outlineLevel="0" collapsed="false">
      <c r="A18" s="8" t="s">
        <v>154</v>
      </c>
      <c r="B18" s="46" t="n">
        <v>310807</v>
      </c>
      <c r="C18" s="46" t="n">
        <v>343045</v>
      </c>
      <c r="D18" s="21" t="n">
        <f aca="false">実績!N22</f>
        <v>629407</v>
      </c>
      <c r="E18" s="25" t="n">
        <f aca="false">D18-C18</f>
        <v>286362</v>
      </c>
      <c r="F18" s="47" t="n">
        <f aca="false">IF(C18=0,"-",E18/C18)</f>
        <v>0.834765118278943</v>
      </c>
      <c r="G18" s="48" t="n">
        <f aca="false">D18/D$24</f>
        <v>0.00798960291810464</v>
      </c>
      <c r="H18" s="28" t="s">
        <v>155</v>
      </c>
    </row>
    <row r="19" customFormat="false" ht="15" hidden="false" customHeight="false" outlineLevel="0" collapsed="false">
      <c r="A19" s="8" t="s">
        <v>156</v>
      </c>
      <c r="B19" s="46" t="n">
        <v>168747</v>
      </c>
      <c r="C19" s="46" t="n">
        <v>754212</v>
      </c>
      <c r="D19" s="21" t="n">
        <f aca="false">実績!N20</f>
        <v>413029</v>
      </c>
      <c r="E19" s="25" t="n">
        <f aca="false">D19-C19</f>
        <v>-341183</v>
      </c>
      <c r="F19" s="47" t="n">
        <f aca="false">IF(C19=0,"-",E19/C19)</f>
        <v>-0.452370155871294</v>
      </c>
      <c r="G19" s="48" t="n">
        <f aca="false">D19/D$24</f>
        <v>0.00524293136819553</v>
      </c>
      <c r="H19" s="28"/>
    </row>
    <row r="20" customFormat="false" ht="15" hidden="false" customHeight="false" outlineLevel="0" collapsed="false">
      <c r="A20" s="8" t="s">
        <v>157</v>
      </c>
      <c r="B20" s="46" t="n">
        <v>317537</v>
      </c>
      <c r="C20" s="46" t="n">
        <v>84896</v>
      </c>
      <c r="D20" s="21" t="n">
        <f aca="false">実績!N21</f>
        <v>218496</v>
      </c>
      <c r="E20" s="25" t="n">
        <f aca="false">D20-C20</f>
        <v>133600</v>
      </c>
      <c r="F20" s="47" t="n">
        <f aca="false">IF(C20=0,"-",E20/C20)</f>
        <v>1.57369016208066</v>
      </c>
      <c r="G20" s="48" t="n">
        <f aca="false">D20/D$24</f>
        <v>0.0027735571406009</v>
      </c>
      <c r="H20" s="28"/>
    </row>
    <row r="21" customFormat="false" ht="15" hidden="false" customHeight="false" outlineLevel="0" collapsed="false">
      <c r="A21" s="8" t="s">
        <v>158</v>
      </c>
      <c r="B21" s="46" t="n">
        <v>300000</v>
      </c>
      <c r="C21" s="46" t="n">
        <v>154500</v>
      </c>
      <c r="D21" s="21" t="n">
        <f aca="false">実績!N25</f>
        <v>38250</v>
      </c>
      <c r="E21" s="25" t="n">
        <f aca="false">D21-C21</f>
        <v>-116250</v>
      </c>
      <c r="F21" s="47" t="n">
        <f aca="false">IF(C21=0,"-",E21/C21)</f>
        <v>-0.752427184466019</v>
      </c>
      <c r="G21" s="48" t="n">
        <f aca="false">D21/D$24</f>
        <v>0.000485540058527316</v>
      </c>
      <c r="H21" s="28"/>
    </row>
    <row r="22" customFormat="false" ht="15" hidden="false" customHeight="false" outlineLevel="0" collapsed="false">
      <c r="A22" s="8" t="s">
        <v>159</v>
      </c>
      <c r="B22" s="46" t="n">
        <v>142616</v>
      </c>
      <c r="C22" s="46" t="n">
        <v>1000</v>
      </c>
      <c r="D22" s="21" t="n">
        <f aca="false">実績!N26</f>
        <v>20300</v>
      </c>
      <c r="E22" s="25" t="n">
        <f aca="false">D22-C22</f>
        <v>19300</v>
      </c>
      <c r="F22" s="47" t="n">
        <f aca="false">IF(C22=0,"-",E22/C22)</f>
        <v>19.3</v>
      </c>
      <c r="G22" s="48" t="n">
        <f aca="false">D22/D$24</f>
        <v>0.000257685312107308</v>
      </c>
      <c r="H22" s="28"/>
    </row>
    <row r="23" customFormat="false" ht="15" hidden="false" customHeight="false" outlineLevel="0" collapsed="false">
      <c r="A23" s="8" t="s">
        <v>160</v>
      </c>
      <c r="B23" s="46" t="n">
        <v>20000</v>
      </c>
      <c r="C23" s="46" t="n">
        <v>30000</v>
      </c>
      <c r="D23" s="21" t="n">
        <f aca="false">実績!N27</f>
        <v>10000</v>
      </c>
      <c r="E23" s="25" t="n">
        <f aca="false">D23-C23</f>
        <v>-20000</v>
      </c>
      <c r="F23" s="47" t="n">
        <f aca="false">IF(C23=0,"-",E23/C23)</f>
        <v>-0.666666666666667</v>
      </c>
      <c r="G23" s="48" t="n">
        <f aca="false">D23/D$24</f>
        <v>0.000126938577392762</v>
      </c>
      <c r="H23" s="28"/>
    </row>
    <row r="24" customFormat="false" ht="15" hidden="false" customHeight="false" outlineLevel="0" collapsed="false">
      <c r="A24" s="36" t="s">
        <v>161</v>
      </c>
      <c r="B24" s="37" t="n">
        <f aca="false">SUM(B5:B23)</f>
        <v>67992891</v>
      </c>
      <c r="C24" s="37" t="n">
        <f aca="false">SUM(C5:C23)</f>
        <v>79082340</v>
      </c>
      <c r="D24" s="37" t="n">
        <f aca="false">SUM(D5:D23)</f>
        <v>78778258</v>
      </c>
      <c r="E24" s="37" t="n">
        <f aca="false">SUM(E5:E23)</f>
        <v>-304082</v>
      </c>
      <c r="F24" s="49" t="n">
        <f aca="false">E24/C24</f>
        <v>-0.00384513154264277</v>
      </c>
      <c r="G24" s="50" t="n">
        <f aca="false">SUM(G5:G23)</f>
        <v>1</v>
      </c>
    </row>
    <row r="25" customFormat="false" ht="15" hidden="false" customHeight="false" outlineLevel="0" collapsed="false">
      <c r="A25" s="8" t="s">
        <v>162</v>
      </c>
      <c r="D25" s="25" t="n">
        <f aca="false">D24/12</f>
        <v>6564854.83333333</v>
      </c>
    </row>
    <row r="26" customFormat="false" ht="15" hidden="false" customHeight="false" outlineLevel="0" collapsed="false">
      <c r="A26" s="8" t="s">
        <v>163</v>
      </c>
      <c r="B26" s="46" t="n">
        <v>1926812</v>
      </c>
      <c r="C26" s="46" t="n">
        <v>2057517</v>
      </c>
      <c r="D26" s="21" t="n">
        <f aca="false">実績!N28</f>
        <v>1668000</v>
      </c>
    </row>
    <row r="28" customFormat="false" ht="15" hidden="false" customHeight="false" outlineLevel="0" collapsed="false">
      <c r="A28" s="51" t="s">
        <v>164</v>
      </c>
    </row>
    <row r="29" customFormat="false" ht="26.85" hidden="false" customHeight="false" outlineLevel="0" collapsed="false">
      <c r="A29" s="39" t="s">
        <v>165</v>
      </c>
      <c r="B29" s="39" t="s">
        <v>166</v>
      </c>
      <c r="C29" s="39" t="s">
        <v>167</v>
      </c>
      <c r="D29" s="39" t="s">
        <v>168</v>
      </c>
      <c r="E29" s="39" t="s">
        <v>169</v>
      </c>
    </row>
    <row r="30" customFormat="false" ht="15" hidden="false" customHeight="false" outlineLevel="0" collapsed="false">
      <c r="A30" s="8" t="s">
        <v>88</v>
      </c>
      <c r="B30" s="25" t="n">
        <f aca="false">D6</f>
        <v>12300000</v>
      </c>
      <c r="C30" s="21" t="n">
        <f aca="false">資金繰り表!O15</f>
        <v>12300000</v>
      </c>
      <c r="D30" s="25" t="n">
        <f aca="false">C30-B30</f>
        <v>0</v>
      </c>
      <c r="E30" s="23" t="s">
        <v>170</v>
      </c>
    </row>
    <row r="31" customFormat="false" ht="15" hidden="false" customHeight="false" outlineLevel="0" collapsed="false">
      <c r="A31" s="8" t="s">
        <v>89</v>
      </c>
      <c r="B31" s="25" t="n">
        <f aca="false">D9+D17+D14+D10</f>
        <v>13388958</v>
      </c>
      <c r="C31" s="21" t="n">
        <f aca="false">資金繰り表!O16</f>
        <v>13388958</v>
      </c>
      <c r="D31" s="25" t="n">
        <f aca="false">C31-B31</f>
        <v>0</v>
      </c>
      <c r="E31" s="23" t="s">
        <v>170</v>
      </c>
    </row>
    <row r="32" customFormat="false" ht="15" hidden="false" customHeight="false" outlineLevel="0" collapsed="false">
      <c r="A32" s="8" t="s">
        <v>90</v>
      </c>
      <c r="B32" s="25" t="n">
        <f aca="false">D5</f>
        <v>24617595</v>
      </c>
      <c r="C32" s="21" t="n">
        <f aca="false">資金繰り表!O17</f>
        <v>33667055</v>
      </c>
      <c r="D32" s="25" t="n">
        <f aca="false">C32-B32</f>
        <v>9049460</v>
      </c>
      <c r="E32" s="23" t="s">
        <v>171</v>
      </c>
    </row>
    <row r="33" customFormat="false" ht="15" hidden="false" customHeight="false" outlineLevel="0" collapsed="false">
      <c r="A33" s="8" t="s">
        <v>91</v>
      </c>
      <c r="B33" s="25" t="n">
        <f aca="false">D8</f>
        <v>7291552</v>
      </c>
      <c r="C33" s="21" t="n">
        <f aca="false">資金繰り表!O18</f>
        <v>7291552</v>
      </c>
      <c r="D33" s="25" t="n">
        <f aca="false">C33-B33</f>
        <v>0</v>
      </c>
      <c r="E33" s="23" t="s">
        <v>170</v>
      </c>
    </row>
    <row r="34" customFormat="false" ht="15" hidden="false" customHeight="false" outlineLevel="0" collapsed="false">
      <c r="A34" s="8" t="s">
        <v>92</v>
      </c>
      <c r="B34" s="25" t="n">
        <f aca="false">D12+D11</f>
        <v>5855406</v>
      </c>
      <c r="C34" s="21" t="n">
        <f aca="false">資金繰り表!O19</f>
        <v>5855406</v>
      </c>
      <c r="D34" s="25" t="n">
        <f aca="false">C34-B34</f>
        <v>0</v>
      </c>
      <c r="E34" s="23" t="s">
        <v>170</v>
      </c>
    </row>
    <row r="35" customFormat="false" ht="15" hidden="false" customHeight="false" outlineLevel="0" collapsed="false">
      <c r="A35" s="8" t="s">
        <v>93</v>
      </c>
      <c r="B35" s="25" t="n">
        <f aca="false">D7+D13</f>
        <v>10951858</v>
      </c>
      <c r="C35" s="21" t="n">
        <f aca="false">資金繰り表!O20</f>
        <v>10951858</v>
      </c>
      <c r="D35" s="25" t="n">
        <f aca="false">C35-B35</f>
        <v>0</v>
      </c>
      <c r="E35" s="23" t="s">
        <v>170</v>
      </c>
    </row>
    <row r="36" customFormat="false" ht="15" hidden="false" customHeight="false" outlineLevel="0" collapsed="false">
      <c r="A36" s="8" t="s">
        <v>94</v>
      </c>
      <c r="B36" s="25" t="n">
        <f aca="false">D19+D20+D18</f>
        <v>1260932</v>
      </c>
      <c r="C36" s="21" t="n">
        <f aca="false">資金繰り表!O21</f>
        <v>1260932</v>
      </c>
      <c r="D36" s="25" t="n">
        <f aca="false">C36-B36</f>
        <v>0</v>
      </c>
      <c r="E36" s="23" t="s">
        <v>170</v>
      </c>
    </row>
    <row r="37" customFormat="false" ht="15" hidden="false" customHeight="false" outlineLevel="0" collapsed="false">
      <c r="A37" s="8" t="s">
        <v>95</v>
      </c>
      <c r="B37" s="25" t="n">
        <f aca="false">D15+D16+D21+D22+D23</f>
        <v>3111957</v>
      </c>
      <c r="C37" s="21" t="n">
        <f aca="false">資金繰り表!O22</f>
        <v>3111957</v>
      </c>
      <c r="D37" s="25" t="n">
        <f aca="false">C37-B37</f>
        <v>0</v>
      </c>
      <c r="E37" s="23" t="s">
        <v>170</v>
      </c>
    </row>
    <row r="38" customFormat="false" ht="15" hidden="false" customHeight="false" outlineLevel="0" collapsed="false">
      <c r="A38" s="36" t="s">
        <v>172</v>
      </c>
      <c r="B38" s="37" t="n">
        <f aca="false">SUM(B30:B37)</f>
        <v>78778258</v>
      </c>
      <c r="C38" s="37" t="n">
        <f aca="false">SUM(C30:C37)</f>
        <v>87827718</v>
      </c>
      <c r="D38" s="37" t="n">
        <f aca="false">SUM(D30:D37)</f>
        <v>9049460</v>
      </c>
    </row>
    <row r="39" customFormat="false" ht="15" hidden="false" customHeight="false" outlineLevel="0" collapsed="false">
      <c r="A39" s="2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34"/>
  </cols>
  <sheetData>
    <row r="1" customFormat="false" ht="17.15" hidden="false" customHeight="false" outlineLevel="0" collapsed="false">
      <c r="A1" s="17" t="s">
        <v>174</v>
      </c>
    </row>
    <row r="2" customFormat="false" ht="15" hidden="false" customHeight="false" outlineLevel="0" collapsed="false">
      <c r="A2" s="2" t="s">
        <v>175</v>
      </c>
    </row>
    <row r="4" customFormat="false" ht="15" hidden="false" customHeight="false" outlineLevel="0" collapsed="false">
      <c r="A4" s="34" t="s">
        <v>176</v>
      </c>
      <c r="B4" s="34" t="s">
        <v>177</v>
      </c>
      <c r="C4" s="34" t="s">
        <v>169</v>
      </c>
    </row>
    <row r="5" customFormat="false" ht="15" hidden="false" customHeight="false" outlineLevel="0" collapsed="false">
      <c r="A5" s="8" t="s">
        <v>178</v>
      </c>
      <c r="B5" s="46" t="n">
        <v>212190</v>
      </c>
      <c r="C5" s="20"/>
    </row>
    <row r="6" customFormat="false" ht="15" hidden="false" customHeight="false" outlineLevel="0" collapsed="false">
      <c r="A6" s="8" t="s">
        <v>179</v>
      </c>
      <c r="B6" s="46" t="n">
        <v>165000</v>
      </c>
      <c r="C6" s="20"/>
    </row>
    <row r="7" customFormat="false" ht="15" hidden="false" customHeight="false" outlineLevel="0" collapsed="false">
      <c r="A7" s="52" t="s">
        <v>180</v>
      </c>
      <c r="B7" s="46" t="n">
        <v>159814</v>
      </c>
      <c r="C7" s="20"/>
    </row>
    <row r="8" customFormat="false" ht="15" hidden="false" customHeight="false" outlineLevel="0" collapsed="false">
      <c r="A8" s="8" t="s">
        <v>181</v>
      </c>
      <c r="B8" s="46" t="n">
        <v>81650</v>
      </c>
      <c r="C8" s="23" t="s">
        <v>182</v>
      </c>
    </row>
    <row r="9" customFormat="false" ht="15" hidden="false" customHeight="false" outlineLevel="0" collapsed="false">
      <c r="A9" s="8" t="s">
        <v>183</v>
      </c>
      <c r="B9" s="46" t="n">
        <v>427776</v>
      </c>
      <c r="C9" s="20"/>
    </row>
    <row r="10" customFormat="false" ht="15" hidden="false" customHeight="false" outlineLevel="0" collapsed="false">
      <c r="A10" s="8" t="s">
        <v>184</v>
      </c>
      <c r="B10" s="46" t="n">
        <v>203703</v>
      </c>
      <c r="C10" s="20"/>
    </row>
    <row r="11" customFormat="false" ht="15" hidden="false" customHeight="false" outlineLevel="0" collapsed="false">
      <c r="A11" s="8" t="s">
        <v>185</v>
      </c>
      <c r="B11" s="46" t="n">
        <v>440000</v>
      </c>
      <c r="C11" s="20"/>
    </row>
    <row r="12" customFormat="false" ht="15" hidden="false" customHeight="false" outlineLevel="0" collapsed="false">
      <c r="A12" s="8" t="s">
        <v>186</v>
      </c>
      <c r="B12" s="46" t="n">
        <v>16500</v>
      </c>
      <c r="C12" s="20"/>
    </row>
    <row r="13" customFormat="false" ht="15" hidden="false" customHeight="false" outlineLevel="0" collapsed="false">
      <c r="A13" s="8" t="s">
        <v>187</v>
      </c>
      <c r="B13" s="46" t="n">
        <v>464970</v>
      </c>
      <c r="C13" s="20" t="s">
        <v>188</v>
      </c>
    </row>
    <row r="14" customFormat="false" ht="15" hidden="false" customHeight="false" outlineLevel="0" collapsed="false">
      <c r="A14" s="8" t="s">
        <v>189</v>
      </c>
      <c r="B14" s="46" t="n">
        <v>628666</v>
      </c>
      <c r="C14" s="20" t="s">
        <v>188</v>
      </c>
    </row>
    <row r="15" customFormat="false" ht="15" hidden="false" customHeight="false" outlineLevel="0" collapsed="false">
      <c r="A15" s="8" t="s">
        <v>190</v>
      </c>
      <c r="B15" s="46" t="n">
        <v>1000000</v>
      </c>
      <c r="C15" s="23" t="s">
        <v>182</v>
      </c>
    </row>
    <row r="17" customFormat="false" ht="15" hidden="false" customHeight="false" outlineLevel="0" collapsed="false">
      <c r="A17" s="36" t="s">
        <v>191</v>
      </c>
      <c r="B17" s="37" t="n">
        <f aca="false">SUM(B5:B15)</f>
        <v>3800269</v>
      </c>
    </row>
    <row r="18" customFormat="false" ht="15" hidden="false" customHeight="false" outlineLevel="0" collapsed="false">
      <c r="A18" s="8" t="s">
        <v>192</v>
      </c>
      <c r="B18" s="46" t="n">
        <v>3800269</v>
      </c>
      <c r="C18" s="52" t="str">
        <f aca="false">IF(B17=B18,"一致","差異あり")</f>
        <v>一致</v>
      </c>
    </row>
    <row r="19" customFormat="false" ht="15" hidden="false" customHeight="false" outlineLevel="0" collapsed="false">
      <c r="A19" s="8" t="s">
        <v>193</v>
      </c>
      <c r="B19" s="46" t="n">
        <v>0</v>
      </c>
      <c r="C19" s="23" t="s">
        <v>194</v>
      </c>
    </row>
    <row r="21" customFormat="false" ht="15" hidden="false" customHeight="false" outlineLevel="0" collapsed="false">
      <c r="A21" s="8" t="s">
        <v>195</v>
      </c>
      <c r="B21" s="21" t="n">
        <f aca="false">実績!N6/12</f>
        <v>4043200.75</v>
      </c>
    </row>
    <row r="22" customFormat="false" ht="15" hidden="false" customHeight="false" outlineLevel="0" collapsed="false">
      <c r="A22" s="8" t="s">
        <v>196</v>
      </c>
      <c r="B22" s="25" t="n">
        <f aca="false">B17-B21</f>
        <v>-242931.75</v>
      </c>
    </row>
    <row r="23" customFormat="false" ht="15" hidden="false" customHeight="false" outlineLevel="0" collapsed="false">
      <c r="A23" s="2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8"/>
    <col collapsed="false" customWidth="true" hidden="false" outlineLevel="0" max="11" min="11" style="0" width="16"/>
    <col collapsed="false" customWidth="true" hidden="false" outlineLevel="0" max="13" min="12" style="0" width="14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9"/>
    <col collapsed="false" customWidth="true" hidden="false" outlineLevel="0" max="17" min="17" style="0" width="16"/>
    <col collapsed="false" customWidth="true" hidden="false" outlineLevel="0" max="19" min="18" style="0" width="12"/>
    <col collapsed="false" customWidth="true" hidden="false" outlineLevel="0" max="20" min="20" style="0" width="52"/>
  </cols>
  <sheetData>
    <row r="1" customFormat="false" ht="17.15" hidden="false" customHeight="false" outlineLevel="0" collapsed="false">
      <c r="A1" s="17" t="s">
        <v>198</v>
      </c>
    </row>
    <row r="2" customFormat="false" ht="15" hidden="false" customHeight="false" outlineLevel="0" collapsed="false">
      <c r="A2" s="2" t="s">
        <v>199</v>
      </c>
    </row>
    <row r="4" customFormat="false" ht="43.5" hidden="false" customHeight="true" outlineLevel="0" collapsed="false">
      <c r="A4" s="39" t="s">
        <v>200</v>
      </c>
      <c r="B4" s="39" t="s">
        <v>201</v>
      </c>
      <c r="C4" s="39" t="s">
        <v>202</v>
      </c>
      <c r="D4" s="39" t="s">
        <v>203</v>
      </c>
      <c r="E4" s="39" t="s">
        <v>204</v>
      </c>
      <c r="F4" s="39" t="s">
        <v>205</v>
      </c>
      <c r="G4" s="39" t="s">
        <v>206</v>
      </c>
      <c r="H4" s="39" t="s">
        <v>207</v>
      </c>
      <c r="I4" s="39" t="s">
        <v>208</v>
      </c>
      <c r="J4" s="39" t="s">
        <v>209</v>
      </c>
      <c r="K4" s="39" t="s">
        <v>210</v>
      </c>
      <c r="L4" s="39" t="s">
        <v>211</v>
      </c>
      <c r="M4" s="39" t="s">
        <v>212</v>
      </c>
      <c r="N4" s="39" t="s">
        <v>213</v>
      </c>
      <c r="O4" s="39" t="s">
        <v>214</v>
      </c>
      <c r="P4" s="39" t="s">
        <v>215</v>
      </c>
      <c r="Q4" s="39" t="s">
        <v>216</v>
      </c>
      <c r="R4" s="39" t="s">
        <v>217</v>
      </c>
      <c r="S4" s="39" t="s">
        <v>218</v>
      </c>
      <c r="T4" s="39" t="s">
        <v>169</v>
      </c>
    </row>
    <row r="5" customFormat="false" ht="15" hidden="false" customHeight="false" outlineLevel="0" collapsed="false">
      <c r="A5" s="53" t="n">
        <v>1</v>
      </c>
      <c r="B5" s="54" t="s">
        <v>219</v>
      </c>
      <c r="C5" s="55" t="s">
        <v>220</v>
      </c>
      <c r="D5" s="56" t="n">
        <v>44765</v>
      </c>
      <c r="E5" s="54" t="s">
        <v>221</v>
      </c>
      <c r="F5" s="54" t="s">
        <v>222</v>
      </c>
      <c r="G5" s="57" t="n">
        <v>0</v>
      </c>
      <c r="H5" s="54" t="s">
        <v>223</v>
      </c>
      <c r="I5" s="55" t="s">
        <v>224</v>
      </c>
      <c r="J5" s="54" t="s">
        <v>225</v>
      </c>
      <c r="K5" s="46" t="n">
        <v>0</v>
      </c>
      <c r="L5" s="25" t="n">
        <f aca="false">IF(J5="月払",K5*12,IF(J5="年払",K5,0))</f>
        <v>0</v>
      </c>
      <c r="M5" s="25" t="n">
        <f aca="false">L5*G5</f>
        <v>0</v>
      </c>
      <c r="N5" s="55" t="s">
        <v>226</v>
      </c>
      <c r="O5" s="58" t="n">
        <v>165</v>
      </c>
      <c r="P5" s="59" t="n">
        <v>0.432</v>
      </c>
      <c r="Q5" s="54" t="s">
        <v>227</v>
      </c>
      <c r="R5" s="53" t="str">
        <f aca="false">IF(J5="年払",MONTH(D5),"")</f>
        <v/>
      </c>
      <c r="S5" s="29"/>
      <c r="T5" s="20"/>
    </row>
    <row r="6" customFormat="false" ht="15" hidden="false" customHeight="false" outlineLevel="0" collapsed="false">
      <c r="A6" s="53" t="n">
        <v>2</v>
      </c>
      <c r="B6" s="54" t="s">
        <v>219</v>
      </c>
      <c r="C6" s="55" t="s">
        <v>228</v>
      </c>
      <c r="D6" s="56" t="n">
        <v>44765</v>
      </c>
      <c r="E6" s="54" t="s">
        <v>221</v>
      </c>
      <c r="F6" s="54" t="s">
        <v>222</v>
      </c>
      <c r="G6" s="57" t="n">
        <v>0</v>
      </c>
      <c r="H6" s="54" t="s">
        <v>229</v>
      </c>
      <c r="I6" s="55" t="s">
        <v>224</v>
      </c>
      <c r="J6" s="54" t="s">
        <v>225</v>
      </c>
      <c r="K6" s="46" t="n">
        <v>0</v>
      </c>
      <c r="L6" s="25" t="n">
        <f aca="false">IF(J6="月払",K6*12,IF(J6="年払",K6,0))</f>
        <v>0</v>
      </c>
      <c r="M6" s="25" t="n">
        <f aca="false">L6*G6</f>
        <v>0</v>
      </c>
      <c r="N6" s="55" t="s">
        <v>230</v>
      </c>
      <c r="O6" s="58" t="n">
        <v>266</v>
      </c>
      <c r="P6" s="59" t="n">
        <v>0.458</v>
      </c>
      <c r="Q6" s="54" t="s">
        <v>227</v>
      </c>
      <c r="R6" s="53" t="str">
        <f aca="false">IF(J6="年払",MONTH(D6),"")</f>
        <v/>
      </c>
      <c r="S6" s="29"/>
      <c r="T6" s="20"/>
    </row>
    <row r="7" customFormat="false" ht="15" hidden="false" customHeight="false" outlineLevel="0" collapsed="false">
      <c r="A7" s="53" t="n">
        <v>3</v>
      </c>
      <c r="B7" s="54" t="s">
        <v>219</v>
      </c>
      <c r="C7" s="55" t="s">
        <v>231</v>
      </c>
      <c r="D7" s="56" t="n">
        <v>44765</v>
      </c>
      <c r="E7" s="54" t="s">
        <v>221</v>
      </c>
      <c r="F7" s="54" t="s">
        <v>222</v>
      </c>
      <c r="G7" s="57" t="n">
        <v>0</v>
      </c>
      <c r="H7" s="54" t="s">
        <v>232</v>
      </c>
      <c r="I7" s="55" t="s">
        <v>224</v>
      </c>
      <c r="J7" s="54" t="s">
        <v>225</v>
      </c>
      <c r="K7" s="46" t="n">
        <v>0</v>
      </c>
      <c r="L7" s="25" t="n">
        <f aca="false">IF(J7="月払",K7*12,IF(J7="年払",K7,0))</f>
        <v>0</v>
      </c>
      <c r="M7" s="25" t="n">
        <f aca="false">L7*G7</f>
        <v>0</v>
      </c>
      <c r="N7" s="55" t="s">
        <v>233</v>
      </c>
      <c r="O7" s="58" t="n">
        <v>433</v>
      </c>
      <c r="P7" s="59" t="n">
        <v>0.528</v>
      </c>
      <c r="Q7" s="55" t="s">
        <v>234</v>
      </c>
      <c r="R7" s="53" t="str">
        <f aca="false">IF(J7="年払",MONTH(D7),"")</f>
        <v/>
      </c>
      <c r="S7" s="29"/>
      <c r="T7" s="20"/>
    </row>
    <row r="8" customFormat="false" ht="15" hidden="false" customHeight="false" outlineLevel="0" collapsed="false">
      <c r="A8" s="53" t="n">
        <v>4</v>
      </c>
      <c r="B8" s="54" t="s">
        <v>219</v>
      </c>
      <c r="C8" s="55" t="s">
        <v>235</v>
      </c>
      <c r="D8" s="56" t="n">
        <v>44765</v>
      </c>
      <c r="E8" s="54" t="s">
        <v>221</v>
      </c>
      <c r="F8" s="54" t="s">
        <v>222</v>
      </c>
      <c r="G8" s="57" t="n">
        <v>0</v>
      </c>
      <c r="H8" s="54" t="s">
        <v>236</v>
      </c>
      <c r="I8" s="55" t="s">
        <v>224</v>
      </c>
      <c r="J8" s="54" t="s">
        <v>225</v>
      </c>
      <c r="K8" s="46" t="n">
        <v>0</v>
      </c>
      <c r="L8" s="25" t="n">
        <f aca="false">IF(J8="月払",K8*12,IF(J8="年払",K8,0))</f>
        <v>0</v>
      </c>
      <c r="M8" s="25" t="n">
        <f aca="false">L8*G8</f>
        <v>0</v>
      </c>
      <c r="N8" s="55" t="s">
        <v>237</v>
      </c>
      <c r="O8" s="58" t="n">
        <v>241</v>
      </c>
      <c r="P8" s="59" t="n">
        <v>0.449</v>
      </c>
      <c r="Q8" s="55" t="s">
        <v>238</v>
      </c>
      <c r="R8" s="53" t="str">
        <f aca="false">IF(J8="年払",MONTH(D8),"")</f>
        <v/>
      </c>
      <c r="S8" s="29"/>
      <c r="T8" s="20"/>
    </row>
    <row r="9" customFormat="false" ht="15" hidden="false" customHeight="false" outlineLevel="0" collapsed="false">
      <c r="A9" s="53" t="n">
        <v>5</v>
      </c>
      <c r="B9" s="54" t="s">
        <v>219</v>
      </c>
      <c r="C9" s="55" t="s">
        <v>239</v>
      </c>
      <c r="D9" s="56" t="n">
        <v>44166</v>
      </c>
      <c r="E9" s="54" t="s">
        <v>221</v>
      </c>
      <c r="F9" s="54" t="s">
        <v>240</v>
      </c>
      <c r="G9" s="57" t="n">
        <v>1</v>
      </c>
      <c r="H9" s="54" t="s">
        <v>241</v>
      </c>
      <c r="I9" s="54" t="s">
        <v>242</v>
      </c>
      <c r="J9" s="54" t="s">
        <v>243</v>
      </c>
      <c r="K9" s="46" t="n">
        <v>22820</v>
      </c>
      <c r="L9" s="25" t="n">
        <f aca="false">IF(J9="月払",K9*12,IF(J9="年払",K9,0))</f>
        <v>273840</v>
      </c>
      <c r="M9" s="25" t="n">
        <f aca="false">L9*G9</f>
        <v>273840</v>
      </c>
      <c r="N9" s="54" t="s">
        <v>244</v>
      </c>
      <c r="O9" s="58"/>
      <c r="P9" s="59"/>
      <c r="Q9" s="54" t="s">
        <v>245</v>
      </c>
      <c r="R9" s="53" t="str">
        <f aca="false">IF(J9="年払",MONTH(D9),"")</f>
        <v/>
      </c>
      <c r="S9" s="29"/>
      <c r="T9" s="23" t="s">
        <v>246</v>
      </c>
    </row>
    <row r="10" customFormat="false" ht="15" hidden="false" customHeight="false" outlineLevel="0" collapsed="false">
      <c r="A10" s="53" t="n">
        <v>6</v>
      </c>
      <c r="B10" s="54" t="s">
        <v>219</v>
      </c>
      <c r="C10" s="55" t="s">
        <v>247</v>
      </c>
      <c r="D10" s="56" t="n">
        <v>44348</v>
      </c>
      <c r="E10" s="54" t="s">
        <v>221</v>
      </c>
      <c r="F10" s="54" t="s">
        <v>222</v>
      </c>
      <c r="G10" s="57" t="n">
        <v>1</v>
      </c>
      <c r="H10" s="54" t="s">
        <v>248</v>
      </c>
      <c r="I10" s="54" t="s">
        <v>249</v>
      </c>
      <c r="J10" s="54" t="s">
        <v>243</v>
      </c>
      <c r="K10" s="46" t="n">
        <v>49130</v>
      </c>
      <c r="L10" s="25" t="n">
        <f aca="false">IF(J10="月払",K10*12,IF(J10="年払",K10,0))</f>
        <v>589560</v>
      </c>
      <c r="M10" s="25" t="n">
        <f aca="false">L10*G10</f>
        <v>589560</v>
      </c>
      <c r="N10" s="55" t="s">
        <v>250</v>
      </c>
      <c r="O10" s="58" t="n">
        <v>131</v>
      </c>
      <c r="P10" s="59" t="n">
        <v>0.4</v>
      </c>
      <c r="Q10" s="54" t="s">
        <v>245</v>
      </c>
      <c r="R10" s="53" t="str">
        <f aca="false">IF(J10="年払",MONTH(D10),"")</f>
        <v/>
      </c>
      <c r="S10" s="29"/>
      <c r="T10" s="20"/>
    </row>
    <row r="11" customFormat="false" ht="15" hidden="false" customHeight="false" outlineLevel="0" collapsed="false">
      <c r="A11" s="53" t="n">
        <v>7</v>
      </c>
      <c r="B11" s="54" t="s">
        <v>219</v>
      </c>
      <c r="C11" s="55" t="s">
        <v>251</v>
      </c>
      <c r="D11" s="56" t="n">
        <v>44166</v>
      </c>
      <c r="E11" s="54" t="s">
        <v>221</v>
      </c>
      <c r="F11" s="55" t="s">
        <v>252</v>
      </c>
      <c r="G11" s="57" t="n">
        <v>0.6</v>
      </c>
      <c r="H11" s="54" t="s">
        <v>241</v>
      </c>
      <c r="I11" s="54" t="s">
        <v>253</v>
      </c>
      <c r="J11" s="54" t="s">
        <v>243</v>
      </c>
      <c r="K11" s="46" t="n">
        <v>505120</v>
      </c>
      <c r="L11" s="25" t="n">
        <f aca="false">IF(J11="月払",K11*12,IF(J11="年払",K11,0))</f>
        <v>6061440</v>
      </c>
      <c r="M11" s="25" t="n">
        <f aca="false">L11*G11</f>
        <v>3636864</v>
      </c>
      <c r="N11" s="55" t="s">
        <v>254</v>
      </c>
      <c r="O11" s="58" t="n">
        <v>2247</v>
      </c>
      <c r="P11" s="59" t="n">
        <v>0.688</v>
      </c>
      <c r="Q11" s="55" t="s">
        <v>234</v>
      </c>
      <c r="R11" s="53" t="str">
        <f aca="false">IF(J11="年払",MONTH(D11),"")</f>
        <v/>
      </c>
      <c r="S11" s="29"/>
      <c r="T11" s="20"/>
    </row>
    <row r="12" customFormat="false" ht="15" hidden="false" customHeight="false" outlineLevel="0" collapsed="false">
      <c r="A12" s="53" t="n">
        <v>8</v>
      </c>
      <c r="B12" s="54" t="s">
        <v>219</v>
      </c>
      <c r="C12" s="55" t="s">
        <v>255</v>
      </c>
      <c r="D12" s="56" t="n">
        <v>44531</v>
      </c>
      <c r="E12" s="54" t="s">
        <v>221</v>
      </c>
      <c r="F12" s="55" t="s">
        <v>252</v>
      </c>
      <c r="G12" s="57" t="n">
        <v>0.6</v>
      </c>
      <c r="H12" s="54" t="s">
        <v>248</v>
      </c>
      <c r="I12" s="55" t="s">
        <v>224</v>
      </c>
      <c r="J12" s="54" t="s">
        <v>243</v>
      </c>
      <c r="K12" s="46" t="n">
        <v>57687</v>
      </c>
      <c r="L12" s="25" t="n">
        <f aca="false">IF(J12="月払",K12*12,IF(J12="年払",K12,0))</f>
        <v>692244</v>
      </c>
      <c r="M12" s="25" t="n">
        <f aca="false">L12*G12</f>
        <v>415346.4</v>
      </c>
      <c r="N12" s="55" t="s">
        <v>256</v>
      </c>
      <c r="O12" s="58" t="n">
        <v>196</v>
      </c>
      <c r="P12" s="59" t="n">
        <v>0.688</v>
      </c>
      <c r="Q12" s="54" t="s">
        <v>245</v>
      </c>
      <c r="R12" s="53" t="str">
        <f aca="false">IF(J12="年払",MONTH(D12),"")</f>
        <v/>
      </c>
      <c r="S12" s="29"/>
      <c r="T12" s="20"/>
    </row>
    <row r="13" customFormat="false" ht="15" hidden="false" customHeight="false" outlineLevel="0" collapsed="false">
      <c r="A13" s="53" t="n">
        <v>9</v>
      </c>
      <c r="B13" s="54" t="s">
        <v>219</v>
      </c>
      <c r="C13" s="55" t="s">
        <v>257</v>
      </c>
      <c r="D13" s="56" t="n">
        <v>44531</v>
      </c>
      <c r="E13" s="54" t="s">
        <v>221</v>
      </c>
      <c r="F13" s="55" t="s">
        <v>252</v>
      </c>
      <c r="G13" s="57" t="n">
        <v>0.6</v>
      </c>
      <c r="H13" s="54" t="s">
        <v>258</v>
      </c>
      <c r="I13" s="54" t="s">
        <v>249</v>
      </c>
      <c r="J13" s="54" t="s">
        <v>243</v>
      </c>
      <c r="K13" s="46" t="n">
        <v>179573</v>
      </c>
      <c r="L13" s="25" t="n">
        <f aca="false">IF(J13="月払",K13*12,IF(J13="年払",K13,0))</f>
        <v>2154876</v>
      </c>
      <c r="M13" s="25" t="n">
        <f aca="false">L13*G13</f>
        <v>1292925.6</v>
      </c>
      <c r="N13" s="55" t="s">
        <v>254</v>
      </c>
      <c r="O13" s="58" t="n">
        <v>654</v>
      </c>
      <c r="P13" s="59" t="n">
        <v>0.675</v>
      </c>
      <c r="Q13" s="55" t="s">
        <v>234</v>
      </c>
      <c r="R13" s="53" t="str">
        <f aca="false">IF(J13="年払",MONTH(D13),"")</f>
        <v/>
      </c>
      <c r="S13" s="29"/>
      <c r="T13" s="20"/>
    </row>
    <row r="14" customFormat="false" ht="15" hidden="false" customHeight="false" outlineLevel="0" collapsed="false">
      <c r="A14" s="53" t="n">
        <v>10</v>
      </c>
      <c r="B14" s="54" t="s">
        <v>219</v>
      </c>
      <c r="C14" s="55" t="s">
        <v>259</v>
      </c>
      <c r="D14" s="56" t="n">
        <v>44531</v>
      </c>
      <c r="E14" s="54" t="s">
        <v>221</v>
      </c>
      <c r="F14" s="55" t="s">
        <v>252</v>
      </c>
      <c r="G14" s="57" t="n">
        <v>0.6</v>
      </c>
      <c r="H14" s="54" t="s">
        <v>258</v>
      </c>
      <c r="I14" s="54" t="s">
        <v>260</v>
      </c>
      <c r="J14" s="54" t="s">
        <v>243</v>
      </c>
      <c r="K14" s="46" t="n">
        <v>49628</v>
      </c>
      <c r="L14" s="25" t="n">
        <f aca="false">IF(J14="月払",K14*12,IF(J14="年払",K14,0))</f>
        <v>595536</v>
      </c>
      <c r="M14" s="25" t="n">
        <f aca="false">L14*G14</f>
        <v>357321.6</v>
      </c>
      <c r="N14" s="55" t="s">
        <v>261</v>
      </c>
      <c r="O14" s="58" t="n">
        <v>456</v>
      </c>
      <c r="P14" s="59" t="n">
        <v>0.646</v>
      </c>
      <c r="Q14" s="54" t="s">
        <v>245</v>
      </c>
      <c r="R14" s="53" t="str">
        <f aca="false">IF(J14="年払",MONTH(D14),"")</f>
        <v/>
      </c>
      <c r="S14" s="29"/>
      <c r="T14" s="20"/>
    </row>
    <row r="15" customFormat="false" ht="15" hidden="false" customHeight="false" outlineLevel="0" collapsed="false">
      <c r="A15" s="53" t="n">
        <v>11</v>
      </c>
      <c r="B15" s="54" t="s">
        <v>219</v>
      </c>
      <c r="C15" s="55" t="s">
        <v>262</v>
      </c>
      <c r="D15" s="56" t="n">
        <v>44733</v>
      </c>
      <c r="E15" s="54" t="s">
        <v>221</v>
      </c>
      <c r="F15" s="54" t="s">
        <v>222</v>
      </c>
      <c r="G15" s="57" t="n">
        <v>1</v>
      </c>
      <c r="H15" s="54" t="s">
        <v>241</v>
      </c>
      <c r="I15" s="55" t="s">
        <v>224</v>
      </c>
      <c r="J15" s="54" t="s">
        <v>263</v>
      </c>
      <c r="K15" s="46" t="n">
        <v>5698547</v>
      </c>
      <c r="L15" s="25" t="n">
        <f aca="false">IF(J15="月払",K15*12,IF(J15="年払",K15,0))</f>
        <v>5698547</v>
      </c>
      <c r="M15" s="25" t="n">
        <f aca="false">L15*G15</f>
        <v>5698547</v>
      </c>
      <c r="N15" s="55" t="s">
        <v>254</v>
      </c>
      <c r="O15" s="58" t="n">
        <v>1138</v>
      </c>
      <c r="P15" s="59" t="n">
        <v>0.5</v>
      </c>
      <c r="Q15" s="55" t="s">
        <v>264</v>
      </c>
      <c r="R15" s="53" t="n">
        <f aca="false">IF(J15="年払",MONTH(D15),"")</f>
        <v>6</v>
      </c>
      <c r="S15" s="29"/>
      <c r="T15" s="20"/>
    </row>
    <row r="16" customFormat="false" ht="15" hidden="false" customHeight="false" outlineLevel="0" collapsed="false">
      <c r="A16" s="53" t="n">
        <v>12</v>
      </c>
      <c r="B16" s="54" t="s">
        <v>219</v>
      </c>
      <c r="C16" s="55" t="s">
        <v>265</v>
      </c>
      <c r="D16" s="56" t="n">
        <v>44765</v>
      </c>
      <c r="E16" s="54" t="s">
        <v>221</v>
      </c>
      <c r="F16" s="54" t="s">
        <v>222</v>
      </c>
      <c r="G16" s="57" t="n">
        <v>1</v>
      </c>
      <c r="H16" s="54" t="s">
        <v>266</v>
      </c>
      <c r="I16" s="55" t="s">
        <v>224</v>
      </c>
      <c r="J16" s="54" t="s">
        <v>263</v>
      </c>
      <c r="K16" s="46" t="n">
        <v>1707660</v>
      </c>
      <c r="L16" s="25" t="n">
        <f aca="false">IF(J16="月払",K16*12,IF(J16="年払",K16,0))</f>
        <v>1707660</v>
      </c>
      <c r="M16" s="25" t="n">
        <f aca="false">L16*G16</f>
        <v>1707660</v>
      </c>
      <c r="N16" s="55" t="s">
        <v>267</v>
      </c>
      <c r="O16" s="58" t="n">
        <v>309</v>
      </c>
      <c r="P16" s="59" t="n">
        <v>0.464</v>
      </c>
      <c r="Q16" s="55" t="s">
        <v>238</v>
      </c>
      <c r="R16" s="53" t="n">
        <f aca="false">IF(J16="年払",MONTH(D16),"")</f>
        <v>7</v>
      </c>
      <c r="S16" s="29"/>
      <c r="T16" s="20"/>
    </row>
    <row r="17" customFormat="false" ht="15" hidden="false" customHeight="false" outlineLevel="0" collapsed="false">
      <c r="A17" s="53" t="n">
        <v>13</v>
      </c>
      <c r="B17" s="54" t="s">
        <v>268</v>
      </c>
      <c r="C17" s="55"/>
      <c r="D17" s="56" t="n">
        <v>44739</v>
      </c>
      <c r="E17" s="54" t="s">
        <v>221</v>
      </c>
      <c r="F17" s="55" t="s">
        <v>269</v>
      </c>
      <c r="G17" s="57" t="n">
        <v>0.4</v>
      </c>
      <c r="H17" s="54" t="s">
        <v>270</v>
      </c>
      <c r="I17" s="55" t="s">
        <v>271</v>
      </c>
      <c r="J17" s="54" t="s">
        <v>263</v>
      </c>
      <c r="K17" s="46" t="n">
        <v>3027080</v>
      </c>
      <c r="L17" s="25" t="n">
        <f aca="false">IF(J17="月払",K17*12,IF(J17="年払",K17,0))</f>
        <v>3027080</v>
      </c>
      <c r="M17" s="25" t="n">
        <f aca="false">L17*G17</f>
        <v>1210832</v>
      </c>
      <c r="N17" s="55" t="s">
        <v>272</v>
      </c>
      <c r="O17" s="58" t="n">
        <v>1250</v>
      </c>
      <c r="P17" s="59" t="n">
        <v>0.826</v>
      </c>
      <c r="Q17" s="54" t="s">
        <v>245</v>
      </c>
      <c r="R17" s="53" t="n">
        <f aca="false">IF(J17="年払",MONTH(D17),"")</f>
        <v>6</v>
      </c>
      <c r="S17" s="29"/>
      <c r="T17" s="23" t="s">
        <v>273</v>
      </c>
    </row>
    <row r="18" customFormat="false" ht="15" hidden="false" customHeight="false" outlineLevel="0" collapsed="false">
      <c r="A18" s="53" t="n">
        <v>14</v>
      </c>
      <c r="B18" s="54" t="s">
        <v>268</v>
      </c>
      <c r="C18" s="55"/>
      <c r="D18" s="56" t="n">
        <v>44832</v>
      </c>
      <c r="E18" s="54" t="s">
        <v>221</v>
      </c>
      <c r="F18" s="55" t="s">
        <v>269</v>
      </c>
      <c r="G18" s="57" t="n">
        <v>0.4</v>
      </c>
      <c r="H18" s="54" t="s">
        <v>270</v>
      </c>
      <c r="I18" s="55" t="s">
        <v>271</v>
      </c>
      <c r="J18" s="54" t="s">
        <v>263</v>
      </c>
      <c r="K18" s="46" t="n">
        <v>4973060</v>
      </c>
      <c r="L18" s="25" t="n">
        <f aca="false">IF(J18="月払",K18*12,IF(J18="年払",K18,0))</f>
        <v>4973060</v>
      </c>
      <c r="M18" s="25" t="n">
        <f aca="false">L18*G18</f>
        <v>1989224</v>
      </c>
      <c r="N18" s="55" t="s">
        <v>274</v>
      </c>
      <c r="O18" s="58" t="n">
        <v>1654</v>
      </c>
      <c r="P18" s="59" t="n">
        <v>0.831</v>
      </c>
      <c r="Q18" s="54" t="s">
        <v>245</v>
      </c>
      <c r="R18" s="53" t="n">
        <f aca="false">IF(J18="年払",MONTH(D18),"")</f>
        <v>9</v>
      </c>
      <c r="S18" s="29"/>
      <c r="T18" s="23" t="s">
        <v>275</v>
      </c>
    </row>
    <row r="19" customFormat="false" ht="15" hidden="false" customHeight="false" outlineLevel="0" collapsed="false">
      <c r="A19" s="53" t="n">
        <v>15</v>
      </c>
      <c r="B19" s="54" t="s">
        <v>268</v>
      </c>
      <c r="C19" s="55"/>
      <c r="D19" s="56" t="n">
        <v>45097</v>
      </c>
      <c r="E19" s="54" t="s">
        <v>221</v>
      </c>
      <c r="F19" s="55" t="s">
        <v>269</v>
      </c>
      <c r="G19" s="57" t="n">
        <v>0.4</v>
      </c>
      <c r="H19" s="54" t="s">
        <v>229</v>
      </c>
      <c r="I19" s="55" t="s">
        <v>276</v>
      </c>
      <c r="J19" s="54" t="s">
        <v>263</v>
      </c>
      <c r="K19" s="46" t="n">
        <v>3014812</v>
      </c>
      <c r="L19" s="25" t="n">
        <f aca="false">IF(J19="月払",K19*12,IF(J19="年払",K19,0))</f>
        <v>3014812</v>
      </c>
      <c r="M19" s="25" t="n">
        <f aca="false">L19*G19</f>
        <v>1205924.8</v>
      </c>
      <c r="N19" s="55" t="s">
        <v>277</v>
      </c>
      <c r="O19" s="58" t="n">
        <v>714</v>
      </c>
      <c r="P19" s="59" t="n">
        <v>0.789</v>
      </c>
      <c r="Q19" s="54" t="s">
        <v>245</v>
      </c>
      <c r="R19" s="53" t="n">
        <f aca="false">IF(J19="年払",MONTH(D19),"")</f>
        <v>6</v>
      </c>
      <c r="S19" s="29"/>
      <c r="T19" s="23" t="s">
        <v>273</v>
      </c>
    </row>
    <row r="20" customFormat="false" ht="15" hidden="false" customHeight="false" outlineLevel="0" collapsed="false">
      <c r="A20" s="53" t="n">
        <v>16</v>
      </c>
      <c r="B20" s="54" t="s">
        <v>268</v>
      </c>
      <c r="C20" s="55"/>
      <c r="D20" s="56" t="n">
        <v>45191</v>
      </c>
      <c r="E20" s="54" t="s">
        <v>221</v>
      </c>
      <c r="F20" s="55" t="s">
        <v>269</v>
      </c>
      <c r="G20" s="57" t="n">
        <v>0.4</v>
      </c>
      <c r="H20" s="54" t="s">
        <v>229</v>
      </c>
      <c r="I20" s="55" t="s">
        <v>276</v>
      </c>
      <c r="J20" s="54" t="s">
        <v>263</v>
      </c>
      <c r="K20" s="46" t="n">
        <v>3014812</v>
      </c>
      <c r="L20" s="25" t="n">
        <f aca="false">IF(J20="月払",K20*12,IF(J20="年払",K20,0))</f>
        <v>3014812</v>
      </c>
      <c r="M20" s="25" t="n">
        <f aca="false">L20*G20</f>
        <v>1205924.8</v>
      </c>
      <c r="N20" s="55" t="s">
        <v>277</v>
      </c>
      <c r="O20" s="58" t="n">
        <v>451</v>
      </c>
      <c r="P20" s="59" t="n">
        <v>0.748</v>
      </c>
      <c r="Q20" s="54" t="s">
        <v>245</v>
      </c>
      <c r="R20" s="53" t="n">
        <f aca="false">IF(J20="年払",MONTH(D20),"")</f>
        <v>9</v>
      </c>
      <c r="S20" s="29"/>
      <c r="T20" s="23" t="s">
        <v>273</v>
      </c>
    </row>
    <row r="21" customFormat="false" ht="15" hidden="false" customHeight="false" outlineLevel="0" collapsed="false">
      <c r="A21" s="53" t="n">
        <v>17</v>
      </c>
      <c r="B21" s="54" t="s">
        <v>278</v>
      </c>
      <c r="C21" s="55"/>
      <c r="D21" s="56" t="n">
        <v>44092</v>
      </c>
      <c r="E21" s="54" t="s">
        <v>221</v>
      </c>
      <c r="F21" s="54" t="s">
        <v>279</v>
      </c>
      <c r="G21" s="57" t="n">
        <v>0.5</v>
      </c>
      <c r="H21" s="54" t="s">
        <v>241</v>
      </c>
      <c r="I21" s="55" t="s">
        <v>280</v>
      </c>
      <c r="J21" s="54" t="s">
        <v>263</v>
      </c>
      <c r="K21" s="46" t="n">
        <v>769825</v>
      </c>
      <c r="L21" s="25" t="n">
        <f aca="false">IF(J21="月払",K21*12,IF(J21="年払",K21,0))</f>
        <v>769825</v>
      </c>
      <c r="M21" s="25" t="n">
        <f aca="false">L21*G21</f>
        <v>384912.5</v>
      </c>
      <c r="N21" s="55" t="s">
        <v>281</v>
      </c>
      <c r="O21" s="58" t="n">
        <v>461</v>
      </c>
      <c r="P21" s="59" t="n">
        <v>0.881</v>
      </c>
      <c r="Q21" s="55" t="s">
        <v>282</v>
      </c>
      <c r="R21" s="53" t="n">
        <f aca="false">IF(J21="年払",MONTH(D21),"")</f>
        <v>9</v>
      </c>
      <c r="S21" s="29"/>
      <c r="T21" s="23" t="s">
        <v>273</v>
      </c>
    </row>
    <row r="22" customFormat="false" ht="15" hidden="false" customHeight="false" outlineLevel="0" collapsed="false">
      <c r="A22" s="53" t="n">
        <v>18</v>
      </c>
      <c r="B22" s="54" t="s">
        <v>278</v>
      </c>
      <c r="C22" s="55"/>
      <c r="D22" s="56" t="n">
        <v>44090</v>
      </c>
      <c r="E22" s="54" t="s">
        <v>221</v>
      </c>
      <c r="F22" s="54" t="s">
        <v>279</v>
      </c>
      <c r="G22" s="57" t="n">
        <v>0.5</v>
      </c>
      <c r="H22" s="54" t="s">
        <v>248</v>
      </c>
      <c r="I22" s="55" t="s">
        <v>283</v>
      </c>
      <c r="J22" s="54" t="s">
        <v>263</v>
      </c>
      <c r="K22" s="46" t="n">
        <v>746963</v>
      </c>
      <c r="L22" s="25" t="n">
        <f aca="false">IF(J22="月払",K22*12,IF(J22="年払",K22,0))</f>
        <v>746963</v>
      </c>
      <c r="M22" s="25" t="n">
        <f aca="false">L22*G22</f>
        <v>373481.5</v>
      </c>
      <c r="N22" s="55" t="s">
        <v>281</v>
      </c>
      <c r="O22" s="58" t="n">
        <v>411</v>
      </c>
      <c r="P22" s="59" t="n">
        <v>0.917</v>
      </c>
      <c r="Q22" s="55" t="s">
        <v>282</v>
      </c>
      <c r="R22" s="53" t="n">
        <f aca="false">IF(J22="年払",MONTH(D22),"")</f>
        <v>9</v>
      </c>
      <c r="S22" s="29"/>
      <c r="T22" s="23" t="s">
        <v>273</v>
      </c>
    </row>
    <row r="23" customFormat="false" ht="15" hidden="false" customHeight="false" outlineLevel="0" collapsed="false">
      <c r="A23" s="53" t="n">
        <v>19</v>
      </c>
      <c r="B23" s="54" t="s">
        <v>219</v>
      </c>
      <c r="C23" s="55"/>
      <c r="D23" s="56" t="n">
        <v>41821</v>
      </c>
      <c r="E23" s="54" t="s">
        <v>221</v>
      </c>
      <c r="F23" s="54" t="s">
        <v>240</v>
      </c>
      <c r="G23" s="57" t="n">
        <v>0</v>
      </c>
      <c r="H23" s="54" t="s">
        <v>258</v>
      </c>
      <c r="I23" s="55" t="s">
        <v>284</v>
      </c>
      <c r="J23" s="54" t="s">
        <v>225</v>
      </c>
      <c r="K23" s="46" t="n">
        <v>0</v>
      </c>
      <c r="L23" s="25" t="n">
        <f aca="false">IF(J23="月払",K23*12,IF(J23="年払",K23,0))</f>
        <v>0</v>
      </c>
      <c r="M23" s="25" t="n">
        <f aca="false">L23*G23</f>
        <v>0</v>
      </c>
      <c r="N23" s="55" t="s">
        <v>285</v>
      </c>
      <c r="O23" s="58" t="n">
        <v>591</v>
      </c>
      <c r="P23" s="59" t="n">
        <v>0.687</v>
      </c>
      <c r="Q23" s="55"/>
      <c r="R23" s="53" t="str">
        <f aca="false">IF(J23="年払",MONTH(D23),"")</f>
        <v/>
      </c>
      <c r="S23" s="29"/>
      <c r="T23" s="23" t="s">
        <v>286</v>
      </c>
    </row>
    <row r="24" customFormat="false" ht="15" hidden="false" customHeight="false" outlineLevel="0" collapsed="false">
      <c r="A24" s="53" t="n">
        <v>20</v>
      </c>
      <c r="B24" s="54" t="s">
        <v>219</v>
      </c>
      <c r="C24" s="55"/>
      <c r="D24" s="56" t="n">
        <v>41821</v>
      </c>
      <c r="E24" s="54" t="s">
        <v>221</v>
      </c>
      <c r="F24" s="54" t="s">
        <v>222</v>
      </c>
      <c r="G24" s="57" t="n">
        <v>1</v>
      </c>
      <c r="H24" s="54" t="s">
        <v>258</v>
      </c>
      <c r="I24" s="55" t="s">
        <v>284</v>
      </c>
      <c r="J24" s="54" t="s">
        <v>243</v>
      </c>
      <c r="K24" s="46" t="n">
        <v>28900</v>
      </c>
      <c r="L24" s="25" t="n">
        <f aca="false">IF(J24="月払",K24*12,IF(J24="年払",K24,0))</f>
        <v>346800</v>
      </c>
      <c r="M24" s="25" t="n">
        <f aca="false">L24*G24</f>
        <v>346800</v>
      </c>
      <c r="N24" s="55" t="s">
        <v>254</v>
      </c>
      <c r="O24" s="58" t="n">
        <v>289</v>
      </c>
      <c r="P24" s="59" t="n">
        <v>0.667</v>
      </c>
      <c r="Q24" s="55"/>
      <c r="R24" s="53" t="str">
        <f aca="false">IF(J24="年払",MONTH(D24),"")</f>
        <v/>
      </c>
      <c r="S24" s="29"/>
      <c r="T24" s="23" t="s">
        <v>287</v>
      </c>
    </row>
    <row r="25" customFormat="false" ht="15" hidden="false" customHeight="false" outlineLevel="0" collapsed="false">
      <c r="A25" s="36" t="s">
        <v>172</v>
      </c>
      <c r="B25" s="60"/>
      <c r="C25" s="60"/>
      <c r="D25" s="60"/>
      <c r="E25" s="60"/>
      <c r="F25" s="60"/>
      <c r="G25" s="60"/>
      <c r="H25" s="60"/>
      <c r="I25" s="60"/>
      <c r="J25" s="60"/>
      <c r="K25" s="37" t="n">
        <f aca="false">SUMIFS(K5:K24,J5:J24,"月払")</f>
        <v>892858</v>
      </c>
      <c r="L25" s="37" t="n">
        <f aca="false">SUM(L5:L24)</f>
        <v>33667055</v>
      </c>
      <c r="M25" s="37" t="n">
        <f aca="false">SUM(M5:M24)</f>
        <v>20689164.2</v>
      </c>
      <c r="N25" s="60"/>
      <c r="O25" s="61" t="n">
        <f aca="false">SUM(O5:O24)</f>
        <v>12057</v>
      </c>
      <c r="P25" s="60"/>
      <c r="Q25" s="60"/>
      <c r="R25" s="60"/>
      <c r="S25" s="60"/>
      <c r="T25" s="62" t="s">
        <v>288</v>
      </c>
    </row>
    <row r="27" customFormat="false" ht="15" hidden="false" customHeight="false" outlineLevel="0" collapsed="false">
      <c r="A27" s="51" t="s">
        <v>289</v>
      </c>
    </row>
    <row r="28" customFormat="false" ht="15" hidden="false" customHeight="false" outlineLevel="0" collapsed="false">
      <c r="A28" s="63" t="s">
        <v>290</v>
      </c>
      <c r="B28" s="63"/>
      <c r="C28" s="63"/>
      <c r="D28" s="63"/>
      <c r="E28" s="33" t="n">
        <f aca="false">SUMIFS(K5:K24,J5:J24,"月払")</f>
        <v>892858</v>
      </c>
    </row>
    <row r="29" customFormat="false" ht="15" hidden="false" customHeight="false" outlineLevel="0" collapsed="false">
      <c r="A29" s="63" t="s">
        <v>291</v>
      </c>
      <c r="B29" s="63"/>
      <c r="C29" s="63"/>
      <c r="D29" s="63"/>
      <c r="E29" s="33" t="n">
        <f aca="false">SUMIFS(L5:L24,J5:J24,"年払")</f>
        <v>22952759</v>
      </c>
    </row>
    <row r="30" customFormat="false" ht="15" hidden="false" customHeight="false" outlineLevel="0" collapsed="false">
      <c r="A30" s="63" t="s">
        <v>292</v>
      </c>
      <c r="B30" s="63"/>
      <c r="C30" s="63"/>
      <c r="D30" s="63"/>
      <c r="E30" s="33" t="n">
        <f aca="false">L25</f>
        <v>33667055</v>
      </c>
    </row>
    <row r="31" customFormat="false" ht="15" hidden="false" customHeight="false" outlineLevel="0" collapsed="false">
      <c r="A31" s="63" t="s">
        <v>293</v>
      </c>
      <c r="B31" s="63"/>
      <c r="C31" s="63"/>
      <c r="D31" s="63"/>
      <c r="E31" s="33" t="n">
        <f aca="false">M25</f>
        <v>20689164.2</v>
      </c>
    </row>
    <row r="32" customFormat="false" ht="15" hidden="false" customHeight="false" outlineLevel="0" collapsed="false">
      <c r="A32" s="63" t="s">
        <v>294</v>
      </c>
      <c r="B32" s="63"/>
      <c r="C32" s="63"/>
      <c r="D32" s="63"/>
      <c r="E32" s="33" t="n">
        <f aca="false">L25-M25</f>
        <v>12977890.8</v>
      </c>
    </row>
    <row r="33" customFormat="false" ht="15" hidden="false" customHeight="false" outlineLevel="0" collapsed="false">
      <c r="A33" s="63" t="s">
        <v>295</v>
      </c>
      <c r="B33" s="63"/>
      <c r="C33" s="63"/>
      <c r="D33" s="63"/>
      <c r="E33" s="64" t="n">
        <f aca="false">COUNTIF(J5:J24,"払済")</f>
        <v>5</v>
      </c>
    </row>
    <row r="34" customFormat="false" ht="15" hidden="false" customHeight="false" outlineLevel="0" collapsed="false">
      <c r="A34" s="65" t="s">
        <v>296</v>
      </c>
      <c r="B34" s="65"/>
      <c r="C34" s="65"/>
      <c r="D34" s="65"/>
      <c r="E34" s="66" t="n">
        <f aca="false">O25</f>
        <v>12057</v>
      </c>
    </row>
    <row r="36" customFormat="false" ht="15" hidden="false" customHeight="false" outlineLevel="0" collapsed="false">
      <c r="A36" s="51" t="s">
        <v>297</v>
      </c>
      <c r="E36" s="5" t="s">
        <v>298</v>
      </c>
      <c r="F36" s="5" t="s">
        <v>299</v>
      </c>
      <c r="G36" s="5" t="s">
        <v>300</v>
      </c>
    </row>
    <row r="37" customFormat="false" ht="15" hidden="false" customHeight="false" outlineLevel="0" collapsed="false">
      <c r="A37" s="63" t="s">
        <v>301</v>
      </c>
      <c r="B37" s="63"/>
      <c r="C37" s="63"/>
      <c r="D37" s="63"/>
      <c r="E37" s="25" t="n">
        <f aca="false">SUMIFS(K5:K22,J5:J22,"月払")</f>
        <v>863958</v>
      </c>
      <c r="F37" s="46" t="n">
        <v>863958</v>
      </c>
      <c r="G37" s="25" t="n">
        <f aca="false">E37-F37</f>
        <v>0</v>
      </c>
    </row>
    <row r="38" customFormat="false" ht="15" hidden="false" customHeight="false" outlineLevel="0" collapsed="false">
      <c r="A38" s="63" t="s">
        <v>302</v>
      </c>
      <c r="B38" s="63"/>
      <c r="C38" s="63"/>
      <c r="D38" s="63"/>
      <c r="E38" s="25" t="n">
        <f aca="false">SUMIFS(L15:L16,J15:J16,"年払")</f>
        <v>7406207</v>
      </c>
      <c r="F38" s="46" t="n">
        <v>7406207</v>
      </c>
      <c r="G38" s="25" t="n">
        <f aca="false">E38-F38</f>
        <v>0</v>
      </c>
    </row>
    <row r="39" customFormat="false" ht="15" hidden="false" customHeight="false" outlineLevel="0" collapsed="false">
      <c r="A39" s="63" t="s">
        <v>303</v>
      </c>
      <c r="B39" s="63"/>
      <c r="C39" s="63"/>
      <c r="D39" s="63"/>
      <c r="E39" s="25" t="n">
        <f aca="false">SUMIFS(L17:L22,J17:J22,"年払")</f>
        <v>15546552</v>
      </c>
      <c r="F39" s="46" t="n">
        <v>15546552</v>
      </c>
      <c r="G39" s="25" t="n">
        <f aca="false">E39-F39</f>
        <v>0</v>
      </c>
    </row>
    <row r="40" customFormat="false" ht="15" hidden="false" customHeight="false" outlineLevel="0" collapsed="false">
      <c r="A40" s="63" t="s">
        <v>304</v>
      </c>
      <c r="B40" s="63"/>
      <c r="C40" s="63"/>
      <c r="D40" s="63"/>
      <c r="E40" s="25" t="n">
        <f aca="false">SUM(M5:M22)-M9</f>
        <v>20068524.2</v>
      </c>
      <c r="F40" s="46" t="n">
        <v>20068524.2</v>
      </c>
      <c r="G40" s="25" t="n">
        <f aca="false">E40-F40</f>
        <v>0</v>
      </c>
    </row>
    <row r="42" customFormat="false" ht="15" hidden="false" customHeight="false" outlineLevel="0" collapsed="false">
      <c r="A42" s="2" t="s">
        <v>305</v>
      </c>
    </row>
    <row r="43" customFormat="false" ht="15" hidden="false" customHeight="false" outlineLevel="0" collapsed="false">
      <c r="A43" s="2" t="s">
        <v>306</v>
      </c>
    </row>
    <row r="44" customFormat="false" ht="15" hidden="false" customHeight="false" outlineLevel="0" collapsed="false">
      <c r="A44" s="2" t="s">
        <v>307</v>
      </c>
    </row>
    <row r="45" customFormat="false" ht="15" hidden="false" customHeight="false" outlineLevel="0" collapsed="false">
      <c r="A45" s="2" t="s">
        <v>308</v>
      </c>
    </row>
  </sheetData>
  <mergeCells count="11">
    <mergeCell ref="A28:D28"/>
    <mergeCell ref="A29:D29"/>
    <mergeCell ref="A30:D30"/>
    <mergeCell ref="A31:D31"/>
    <mergeCell ref="A32:D32"/>
    <mergeCell ref="A33:D33"/>
    <mergeCell ref="A34:D34"/>
    <mergeCell ref="A37:D37"/>
    <mergeCell ref="A38:D38"/>
    <mergeCell ref="A39:D39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14" min="3" style="0" width="11"/>
    <col collapsed="false" customWidth="true" hidden="false" outlineLevel="0" max="15" min="15" style="0" width="13"/>
    <col collapsed="false" customWidth="true" hidden="false" outlineLevel="0" max="16" min="16" style="0" width="14"/>
  </cols>
  <sheetData>
    <row r="1" customFormat="false" ht="17.15" hidden="false" customHeight="false" outlineLevel="0" collapsed="false">
      <c r="A1" s="17" t="s">
        <v>309</v>
      </c>
    </row>
    <row r="2" customFormat="false" ht="15" hidden="false" customHeight="false" outlineLevel="0" collapsed="false">
      <c r="A2" s="2" t="s">
        <v>310</v>
      </c>
    </row>
    <row r="4" customFormat="false" ht="31.5" hidden="false" customHeight="true" outlineLevel="0" collapsed="false">
      <c r="A4" s="39" t="s">
        <v>311</v>
      </c>
      <c r="B4" s="6"/>
      <c r="C4" s="67" t="n">
        <v>46296</v>
      </c>
      <c r="D4" s="67" t="n">
        <f aca="false">EDATE(C4,1)</f>
        <v>46327</v>
      </c>
      <c r="E4" s="67" t="n">
        <f aca="false">EDATE(D4,1)</f>
        <v>46357</v>
      </c>
      <c r="F4" s="67" t="n">
        <f aca="false">EDATE(E4,1)</f>
        <v>46388</v>
      </c>
      <c r="G4" s="67" t="n">
        <f aca="false">EDATE(F4,1)</f>
        <v>46419</v>
      </c>
      <c r="H4" s="67" t="n">
        <f aca="false">EDATE(G4,1)</f>
        <v>46447</v>
      </c>
      <c r="I4" s="67" t="n">
        <f aca="false">EDATE(H4,1)</f>
        <v>46478</v>
      </c>
      <c r="J4" s="67" t="n">
        <f aca="false">EDATE(I4,1)</f>
        <v>46508</v>
      </c>
      <c r="K4" s="67" t="n">
        <f aca="false">EDATE(J4,1)</f>
        <v>46539</v>
      </c>
      <c r="L4" s="67" t="n">
        <f aca="false">EDATE(K4,1)</f>
        <v>46569</v>
      </c>
      <c r="M4" s="67" t="n">
        <f aca="false">EDATE(L4,1)</f>
        <v>46600</v>
      </c>
      <c r="N4" s="67" t="n">
        <f aca="false">EDATE(M4,1)</f>
        <v>46631</v>
      </c>
      <c r="O4" s="39" t="s">
        <v>312</v>
      </c>
      <c r="P4" s="39" t="s">
        <v>313</v>
      </c>
    </row>
    <row r="6" customFormat="false" ht="15" hidden="false" customHeight="false" outlineLevel="0" collapsed="false">
      <c r="A6" s="68" t="str">
        <f aca="false">保険一覧!A5&amp;" "&amp;保険一覧!B5&amp;" "&amp;保険一覧!H5</f>
        <v>1 大同生命 岡田 優子</v>
      </c>
      <c r="B6" s="68"/>
      <c r="C6" s="21" t="n">
        <f aca="false">IF(OR(保険一覧!$S5="",C$4&lt;保険一覧!$S5),IF(保険一覧!$J5="月払",保険一覧!$K5,IF(AND(保険一覧!$J5="年払",MONTH(C$4)=保険一覧!$R5),保険一覧!$K5,0)),0)</f>
        <v>0</v>
      </c>
      <c r="D6" s="21" t="n">
        <f aca="false">IF(OR(保険一覧!$S5="",D$4&lt;保険一覧!$S5),IF(保険一覧!$J5="月払",保険一覧!$K5,IF(AND(保険一覧!$J5="年払",MONTH(D$4)=保険一覧!$R5),保険一覧!$K5,0)),0)</f>
        <v>0</v>
      </c>
      <c r="E6" s="21" t="n">
        <f aca="false">IF(OR(保険一覧!$S5="",E$4&lt;保険一覧!$S5),IF(保険一覧!$J5="月払",保険一覧!$K5,IF(AND(保険一覧!$J5="年払",MONTH(E$4)=保険一覧!$R5),保険一覧!$K5,0)),0)</f>
        <v>0</v>
      </c>
      <c r="F6" s="21" t="n">
        <f aca="false">IF(OR(保険一覧!$S5="",F$4&lt;保険一覧!$S5),IF(保険一覧!$J5="月払",保険一覧!$K5,IF(AND(保険一覧!$J5="年払",MONTH(F$4)=保険一覧!$R5),保険一覧!$K5,0)),0)</f>
        <v>0</v>
      </c>
      <c r="G6" s="21" t="n">
        <f aca="false">IF(OR(保険一覧!$S5="",G$4&lt;保険一覧!$S5),IF(保険一覧!$J5="月払",保険一覧!$K5,IF(AND(保険一覧!$J5="年払",MONTH(G$4)=保険一覧!$R5),保険一覧!$K5,0)),0)</f>
        <v>0</v>
      </c>
      <c r="H6" s="21" t="n">
        <f aca="false">IF(OR(保険一覧!$S5="",H$4&lt;保険一覧!$S5),IF(保険一覧!$J5="月払",保険一覧!$K5,IF(AND(保険一覧!$J5="年払",MONTH(H$4)=保険一覧!$R5),保険一覧!$K5,0)),0)</f>
        <v>0</v>
      </c>
      <c r="I6" s="21" t="n">
        <f aca="false">IF(OR(保険一覧!$S5="",I$4&lt;保険一覧!$S5),IF(保険一覧!$J5="月払",保険一覧!$K5,IF(AND(保険一覧!$J5="年払",MONTH(I$4)=保険一覧!$R5),保険一覧!$K5,0)),0)</f>
        <v>0</v>
      </c>
      <c r="J6" s="21" t="n">
        <f aca="false">IF(OR(保険一覧!$S5="",J$4&lt;保険一覧!$S5),IF(保険一覧!$J5="月払",保険一覧!$K5,IF(AND(保険一覧!$J5="年払",MONTH(J$4)=保険一覧!$R5),保険一覧!$K5,0)),0)</f>
        <v>0</v>
      </c>
      <c r="K6" s="21" t="n">
        <f aca="false">IF(OR(保険一覧!$S5="",K$4&lt;保険一覧!$S5),IF(保険一覧!$J5="月払",保険一覧!$K5,IF(AND(保険一覧!$J5="年払",MONTH(K$4)=保険一覧!$R5),保険一覧!$K5,0)),0)</f>
        <v>0</v>
      </c>
      <c r="L6" s="21" t="n">
        <f aca="false">IF(OR(保険一覧!$S5="",L$4&lt;保険一覧!$S5),IF(保険一覧!$J5="月払",保険一覧!$K5,IF(AND(保険一覧!$J5="年払",MONTH(L$4)=保険一覧!$R5),保険一覧!$K5,0)),0)</f>
        <v>0</v>
      </c>
      <c r="M6" s="21" t="n">
        <f aca="false">IF(OR(保険一覧!$S5="",M$4&lt;保険一覧!$S5),IF(保険一覧!$J5="月払",保険一覧!$K5,IF(AND(保険一覧!$J5="年払",MONTH(M$4)=保険一覧!$R5),保険一覧!$K5,0)),0)</f>
        <v>0</v>
      </c>
      <c r="N6" s="21" t="n">
        <f aca="false">IF(OR(保険一覧!$S5="",N$4&lt;保険一覧!$S5),IF(保険一覧!$J5="月払",保険一覧!$K5,IF(AND(保険一覧!$J5="年払",MONTH(N$4)=保険一覧!$R5),保険一覧!$K5,0)),0)</f>
        <v>0</v>
      </c>
      <c r="O6" s="25" t="n">
        <f aca="false">SUM(C6:N6)</f>
        <v>0</v>
      </c>
      <c r="P6" s="25" t="n">
        <f aca="false">SUMIFS(C6:N6,$C$4:$N$4,"&gt;="&amp;DATE(2026,10,1),$C$4:$N$4,"&lt;="&amp;DATE(2027,9,1))</f>
        <v>0</v>
      </c>
    </row>
    <row r="7" customFormat="false" ht="15" hidden="false" customHeight="false" outlineLevel="0" collapsed="false">
      <c r="A7" s="68" t="str">
        <f aca="false">保険一覧!A6&amp;" "&amp;保険一覧!B6&amp;" "&amp;保険一覧!H6</f>
        <v>2 大同生命 岡田 淳</v>
      </c>
      <c r="B7" s="68"/>
      <c r="C7" s="21" t="n">
        <f aca="false">IF(OR(保険一覧!$S6="",C$4&lt;保険一覧!$S6),IF(保険一覧!$J6="月払",保険一覧!$K6,IF(AND(保険一覧!$J6="年払",MONTH(C$4)=保険一覧!$R6),保険一覧!$K6,0)),0)</f>
        <v>0</v>
      </c>
      <c r="D7" s="21" t="n">
        <f aca="false">IF(OR(保険一覧!$S6="",D$4&lt;保険一覧!$S6),IF(保険一覧!$J6="月払",保険一覧!$K6,IF(AND(保険一覧!$J6="年払",MONTH(D$4)=保険一覧!$R6),保険一覧!$K6,0)),0)</f>
        <v>0</v>
      </c>
      <c r="E7" s="21" t="n">
        <f aca="false">IF(OR(保険一覧!$S6="",E$4&lt;保険一覧!$S6),IF(保険一覧!$J6="月払",保険一覧!$K6,IF(AND(保険一覧!$J6="年払",MONTH(E$4)=保険一覧!$R6),保険一覧!$K6,0)),0)</f>
        <v>0</v>
      </c>
      <c r="F7" s="21" t="n">
        <f aca="false">IF(OR(保険一覧!$S6="",F$4&lt;保険一覧!$S6),IF(保険一覧!$J6="月払",保険一覧!$K6,IF(AND(保険一覧!$J6="年払",MONTH(F$4)=保険一覧!$R6),保険一覧!$K6,0)),0)</f>
        <v>0</v>
      </c>
      <c r="G7" s="21" t="n">
        <f aca="false">IF(OR(保険一覧!$S6="",G$4&lt;保険一覧!$S6),IF(保険一覧!$J6="月払",保険一覧!$K6,IF(AND(保険一覧!$J6="年払",MONTH(G$4)=保険一覧!$R6),保険一覧!$K6,0)),0)</f>
        <v>0</v>
      </c>
      <c r="H7" s="21" t="n">
        <f aca="false">IF(OR(保険一覧!$S6="",H$4&lt;保険一覧!$S6),IF(保険一覧!$J6="月払",保険一覧!$K6,IF(AND(保険一覧!$J6="年払",MONTH(H$4)=保険一覧!$R6),保険一覧!$K6,0)),0)</f>
        <v>0</v>
      </c>
      <c r="I7" s="21" t="n">
        <f aca="false">IF(OR(保険一覧!$S6="",I$4&lt;保険一覧!$S6),IF(保険一覧!$J6="月払",保険一覧!$K6,IF(AND(保険一覧!$J6="年払",MONTH(I$4)=保険一覧!$R6),保険一覧!$K6,0)),0)</f>
        <v>0</v>
      </c>
      <c r="J7" s="21" t="n">
        <f aca="false">IF(OR(保険一覧!$S6="",J$4&lt;保険一覧!$S6),IF(保険一覧!$J6="月払",保険一覧!$K6,IF(AND(保険一覧!$J6="年払",MONTH(J$4)=保険一覧!$R6),保険一覧!$K6,0)),0)</f>
        <v>0</v>
      </c>
      <c r="K7" s="21" t="n">
        <f aca="false">IF(OR(保険一覧!$S6="",K$4&lt;保険一覧!$S6),IF(保険一覧!$J6="月払",保険一覧!$K6,IF(AND(保険一覧!$J6="年払",MONTH(K$4)=保険一覧!$R6),保険一覧!$K6,0)),0)</f>
        <v>0</v>
      </c>
      <c r="L7" s="21" t="n">
        <f aca="false">IF(OR(保険一覧!$S6="",L$4&lt;保険一覧!$S6),IF(保険一覧!$J6="月払",保険一覧!$K6,IF(AND(保険一覧!$J6="年払",MONTH(L$4)=保険一覧!$R6),保険一覧!$K6,0)),0)</f>
        <v>0</v>
      </c>
      <c r="M7" s="21" t="n">
        <f aca="false">IF(OR(保険一覧!$S6="",M$4&lt;保険一覧!$S6),IF(保険一覧!$J6="月払",保険一覧!$K6,IF(AND(保険一覧!$J6="年払",MONTH(M$4)=保険一覧!$R6),保険一覧!$K6,0)),0)</f>
        <v>0</v>
      </c>
      <c r="N7" s="21" t="n">
        <f aca="false">IF(OR(保険一覧!$S6="",N$4&lt;保険一覧!$S6),IF(保険一覧!$J6="月払",保険一覧!$K6,IF(AND(保険一覧!$J6="年払",MONTH(N$4)=保険一覧!$R6),保険一覧!$K6,0)),0)</f>
        <v>0</v>
      </c>
      <c r="O7" s="25" t="n">
        <f aca="false">SUM(C7:N7)</f>
        <v>0</v>
      </c>
      <c r="P7" s="25" t="n">
        <f aca="false">SUMIFS(C7:N7,$C$4:$N$4,"&gt;="&amp;DATE(2026,10,1),$C$4:$N$4,"&lt;="&amp;DATE(2027,9,1))</f>
        <v>0</v>
      </c>
    </row>
    <row r="8" customFormat="false" ht="15" hidden="false" customHeight="false" outlineLevel="0" collapsed="false">
      <c r="A8" s="68" t="str">
        <f aca="false">保険一覧!A7&amp;" "&amp;保険一覧!B7&amp;" "&amp;保険一覧!H7</f>
        <v>3 大同生命 Ｊ 岡田 優子</v>
      </c>
      <c r="B8" s="68"/>
      <c r="C8" s="21" t="n">
        <f aca="false">IF(OR(保険一覧!$S7="",C$4&lt;保険一覧!$S7),IF(保険一覧!$J7="月払",保険一覧!$K7,IF(AND(保険一覧!$J7="年払",MONTH(C$4)=保険一覧!$R7),保険一覧!$K7,0)),0)</f>
        <v>0</v>
      </c>
      <c r="D8" s="21" t="n">
        <f aca="false">IF(OR(保険一覧!$S7="",D$4&lt;保険一覧!$S7),IF(保険一覧!$J7="月払",保険一覧!$K7,IF(AND(保険一覧!$J7="年払",MONTH(D$4)=保険一覧!$R7),保険一覧!$K7,0)),0)</f>
        <v>0</v>
      </c>
      <c r="E8" s="21" t="n">
        <f aca="false">IF(OR(保険一覧!$S7="",E$4&lt;保険一覧!$S7),IF(保険一覧!$J7="月払",保険一覧!$K7,IF(AND(保険一覧!$J7="年払",MONTH(E$4)=保険一覧!$R7),保険一覧!$K7,0)),0)</f>
        <v>0</v>
      </c>
      <c r="F8" s="21" t="n">
        <f aca="false">IF(OR(保険一覧!$S7="",F$4&lt;保険一覧!$S7),IF(保険一覧!$J7="月払",保険一覧!$K7,IF(AND(保険一覧!$J7="年払",MONTH(F$4)=保険一覧!$R7),保険一覧!$K7,0)),0)</f>
        <v>0</v>
      </c>
      <c r="G8" s="21" t="n">
        <f aca="false">IF(OR(保険一覧!$S7="",G$4&lt;保険一覧!$S7),IF(保険一覧!$J7="月払",保険一覧!$K7,IF(AND(保険一覧!$J7="年払",MONTH(G$4)=保険一覧!$R7),保険一覧!$K7,0)),0)</f>
        <v>0</v>
      </c>
      <c r="H8" s="21" t="n">
        <f aca="false">IF(OR(保険一覧!$S7="",H$4&lt;保険一覧!$S7),IF(保険一覧!$J7="月払",保険一覧!$K7,IF(AND(保険一覧!$J7="年払",MONTH(H$4)=保険一覧!$R7),保険一覧!$K7,0)),0)</f>
        <v>0</v>
      </c>
      <c r="I8" s="21" t="n">
        <f aca="false">IF(OR(保険一覧!$S7="",I$4&lt;保険一覧!$S7),IF(保険一覧!$J7="月払",保険一覧!$K7,IF(AND(保険一覧!$J7="年払",MONTH(I$4)=保険一覧!$R7),保険一覧!$K7,0)),0)</f>
        <v>0</v>
      </c>
      <c r="J8" s="21" t="n">
        <f aca="false">IF(OR(保険一覧!$S7="",J$4&lt;保険一覧!$S7),IF(保険一覧!$J7="月払",保険一覧!$K7,IF(AND(保険一覧!$J7="年払",MONTH(J$4)=保険一覧!$R7),保険一覧!$K7,0)),0)</f>
        <v>0</v>
      </c>
      <c r="K8" s="21" t="n">
        <f aca="false">IF(OR(保険一覧!$S7="",K$4&lt;保険一覧!$S7),IF(保険一覧!$J7="月払",保険一覧!$K7,IF(AND(保険一覧!$J7="年払",MONTH(K$4)=保険一覧!$R7),保険一覧!$K7,0)),0)</f>
        <v>0</v>
      </c>
      <c r="L8" s="21" t="n">
        <f aca="false">IF(OR(保険一覧!$S7="",L$4&lt;保険一覧!$S7),IF(保険一覧!$J7="月払",保険一覧!$K7,IF(AND(保険一覧!$J7="年払",MONTH(L$4)=保険一覧!$R7),保険一覧!$K7,0)),0)</f>
        <v>0</v>
      </c>
      <c r="M8" s="21" t="n">
        <f aca="false">IF(OR(保険一覧!$S7="",M$4&lt;保険一覧!$S7),IF(保険一覧!$J7="月払",保険一覧!$K7,IF(AND(保険一覧!$J7="年払",MONTH(M$4)=保険一覧!$R7),保険一覧!$K7,0)),0)</f>
        <v>0</v>
      </c>
      <c r="N8" s="21" t="n">
        <f aca="false">IF(OR(保険一覧!$S7="",N$4&lt;保険一覧!$S7),IF(保険一覧!$J7="月払",保険一覧!$K7,IF(AND(保険一覧!$J7="年払",MONTH(N$4)=保険一覧!$R7),保険一覧!$K7,0)),0)</f>
        <v>0</v>
      </c>
      <c r="O8" s="25" t="n">
        <f aca="false">SUM(C8:N8)</f>
        <v>0</v>
      </c>
      <c r="P8" s="25" t="n">
        <f aca="false">SUMIFS(C8:N8,$C$4:$N$4,"&gt;="&amp;DATE(2026,10,1),$C$4:$N$4,"&lt;="&amp;DATE(2027,9,1))</f>
        <v>0</v>
      </c>
    </row>
    <row r="9" customFormat="false" ht="15" hidden="false" customHeight="false" outlineLevel="0" collapsed="false">
      <c r="A9" s="68" t="str">
        <f aca="false">保険一覧!A8&amp;" "&amp;保険一覧!B8&amp;" "&amp;保険一覧!H8</f>
        <v>4 大同生命 Ｔ 岡田 優子</v>
      </c>
      <c r="B9" s="68"/>
      <c r="C9" s="21" t="n">
        <f aca="false">IF(OR(保険一覧!$S8="",C$4&lt;保険一覧!$S8),IF(保険一覧!$J8="月払",保険一覧!$K8,IF(AND(保険一覧!$J8="年払",MONTH(C$4)=保険一覧!$R8),保険一覧!$K8,0)),0)</f>
        <v>0</v>
      </c>
      <c r="D9" s="21" t="n">
        <f aca="false">IF(OR(保険一覧!$S8="",D$4&lt;保険一覧!$S8),IF(保険一覧!$J8="月払",保険一覧!$K8,IF(AND(保険一覧!$J8="年払",MONTH(D$4)=保険一覧!$R8),保険一覧!$K8,0)),0)</f>
        <v>0</v>
      </c>
      <c r="E9" s="21" t="n">
        <f aca="false">IF(OR(保険一覧!$S8="",E$4&lt;保険一覧!$S8),IF(保険一覧!$J8="月払",保険一覧!$K8,IF(AND(保険一覧!$J8="年払",MONTH(E$4)=保険一覧!$R8),保険一覧!$K8,0)),0)</f>
        <v>0</v>
      </c>
      <c r="F9" s="21" t="n">
        <f aca="false">IF(OR(保険一覧!$S8="",F$4&lt;保険一覧!$S8),IF(保険一覧!$J8="月払",保険一覧!$K8,IF(AND(保険一覧!$J8="年払",MONTH(F$4)=保険一覧!$R8),保険一覧!$K8,0)),0)</f>
        <v>0</v>
      </c>
      <c r="G9" s="21" t="n">
        <f aca="false">IF(OR(保険一覧!$S8="",G$4&lt;保険一覧!$S8),IF(保険一覧!$J8="月払",保険一覧!$K8,IF(AND(保険一覧!$J8="年払",MONTH(G$4)=保険一覧!$R8),保険一覧!$K8,0)),0)</f>
        <v>0</v>
      </c>
      <c r="H9" s="21" t="n">
        <f aca="false">IF(OR(保険一覧!$S8="",H$4&lt;保険一覧!$S8),IF(保険一覧!$J8="月払",保険一覧!$K8,IF(AND(保険一覧!$J8="年払",MONTH(H$4)=保険一覧!$R8),保険一覧!$K8,0)),0)</f>
        <v>0</v>
      </c>
      <c r="I9" s="21" t="n">
        <f aca="false">IF(OR(保険一覧!$S8="",I$4&lt;保険一覧!$S8),IF(保険一覧!$J8="月払",保険一覧!$K8,IF(AND(保険一覧!$J8="年払",MONTH(I$4)=保険一覧!$R8),保険一覧!$K8,0)),0)</f>
        <v>0</v>
      </c>
      <c r="J9" s="21" t="n">
        <f aca="false">IF(OR(保険一覧!$S8="",J$4&lt;保険一覧!$S8),IF(保険一覧!$J8="月払",保険一覧!$K8,IF(AND(保険一覧!$J8="年払",MONTH(J$4)=保険一覧!$R8),保険一覧!$K8,0)),0)</f>
        <v>0</v>
      </c>
      <c r="K9" s="21" t="n">
        <f aca="false">IF(OR(保険一覧!$S8="",K$4&lt;保険一覧!$S8),IF(保険一覧!$J8="月払",保険一覧!$K8,IF(AND(保険一覧!$J8="年払",MONTH(K$4)=保険一覧!$R8),保険一覧!$K8,0)),0)</f>
        <v>0</v>
      </c>
      <c r="L9" s="21" t="n">
        <f aca="false">IF(OR(保険一覧!$S8="",L$4&lt;保険一覧!$S8),IF(保険一覧!$J8="月払",保険一覧!$K8,IF(AND(保険一覧!$J8="年払",MONTH(L$4)=保険一覧!$R8),保険一覧!$K8,0)),0)</f>
        <v>0</v>
      </c>
      <c r="M9" s="21" t="n">
        <f aca="false">IF(OR(保険一覧!$S8="",M$4&lt;保険一覧!$S8),IF(保険一覧!$J8="月払",保険一覧!$K8,IF(AND(保険一覧!$J8="年払",MONTH(M$4)=保険一覧!$R8),保険一覧!$K8,0)),0)</f>
        <v>0</v>
      </c>
      <c r="N9" s="21" t="n">
        <f aca="false">IF(OR(保険一覧!$S8="",N$4&lt;保険一覧!$S8),IF(保険一覧!$J8="月払",保険一覧!$K8,IF(AND(保険一覧!$J8="年払",MONTH(N$4)=保険一覧!$R8),保険一覧!$K8,0)),0)</f>
        <v>0</v>
      </c>
      <c r="O9" s="25" t="n">
        <f aca="false">SUM(C9:N9)</f>
        <v>0</v>
      </c>
      <c r="P9" s="25" t="n">
        <f aca="false">SUMIFS(C9:N9,$C$4:$N$4,"&gt;="&amp;DATE(2026,10,1),$C$4:$N$4,"&lt;="&amp;DATE(2027,9,1))</f>
        <v>0</v>
      </c>
    </row>
    <row r="10" customFormat="false" ht="15" hidden="false" customHeight="false" outlineLevel="0" collapsed="false">
      <c r="A10" s="68" t="str">
        <f aca="false">保険一覧!A9&amp;" "&amp;保険一覧!B9&amp;" "&amp;保険一覧!H9</f>
        <v>5 大同生命 坂本 武</v>
      </c>
      <c r="B10" s="68"/>
      <c r="C10" s="21" t="n">
        <f aca="false">IF(OR(保険一覧!$S9="",C$4&lt;保険一覧!$S9),IF(保険一覧!$J9="月払",保険一覧!$K9,IF(AND(保険一覧!$J9="年払",MONTH(C$4)=保険一覧!$R9),保険一覧!$K9,0)),0)</f>
        <v>22820</v>
      </c>
      <c r="D10" s="21" t="n">
        <f aca="false">IF(OR(保険一覧!$S9="",D$4&lt;保険一覧!$S9),IF(保険一覧!$J9="月払",保険一覧!$K9,IF(AND(保険一覧!$J9="年払",MONTH(D$4)=保険一覧!$R9),保険一覧!$K9,0)),0)</f>
        <v>22820</v>
      </c>
      <c r="E10" s="21" t="n">
        <f aca="false">IF(OR(保険一覧!$S9="",E$4&lt;保険一覧!$S9),IF(保険一覧!$J9="月払",保険一覧!$K9,IF(AND(保険一覧!$J9="年払",MONTH(E$4)=保険一覧!$R9),保険一覧!$K9,0)),0)</f>
        <v>22820</v>
      </c>
      <c r="F10" s="21" t="n">
        <f aca="false">IF(OR(保険一覧!$S9="",F$4&lt;保険一覧!$S9),IF(保険一覧!$J9="月払",保険一覧!$K9,IF(AND(保険一覧!$J9="年払",MONTH(F$4)=保険一覧!$R9),保険一覧!$K9,0)),0)</f>
        <v>22820</v>
      </c>
      <c r="G10" s="21" t="n">
        <f aca="false">IF(OR(保険一覧!$S9="",G$4&lt;保険一覧!$S9),IF(保険一覧!$J9="月払",保険一覧!$K9,IF(AND(保険一覧!$J9="年払",MONTH(G$4)=保険一覧!$R9),保険一覧!$K9,0)),0)</f>
        <v>22820</v>
      </c>
      <c r="H10" s="21" t="n">
        <f aca="false">IF(OR(保険一覧!$S9="",H$4&lt;保険一覧!$S9),IF(保険一覧!$J9="月払",保険一覧!$K9,IF(AND(保険一覧!$J9="年払",MONTH(H$4)=保険一覧!$R9),保険一覧!$K9,0)),0)</f>
        <v>22820</v>
      </c>
      <c r="I10" s="21" t="n">
        <f aca="false">IF(OR(保険一覧!$S9="",I$4&lt;保険一覧!$S9),IF(保険一覧!$J9="月払",保険一覧!$K9,IF(AND(保険一覧!$J9="年払",MONTH(I$4)=保険一覧!$R9),保険一覧!$K9,0)),0)</f>
        <v>22820</v>
      </c>
      <c r="J10" s="21" t="n">
        <f aca="false">IF(OR(保険一覧!$S9="",J$4&lt;保険一覧!$S9),IF(保険一覧!$J9="月払",保険一覧!$K9,IF(AND(保険一覧!$J9="年払",MONTH(J$4)=保険一覧!$R9),保険一覧!$K9,0)),0)</f>
        <v>22820</v>
      </c>
      <c r="K10" s="21" t="n">
        <f aca="false">IF(OR(保険一覧!$S9="",K$4&lt;保険一覧!$S9),IF(保険一覧!$J9="月払",保険一覧!$K9,IF(AND(保険一覧!$J9="年払",MONTH(K$4)=保険一覧!$R9),保険一覧!$K9,0)),0)</f>
        <v>22820</v>
      </c>
      <c r="L10" s="21" t="n">
        <f aca="false">IF(OR(保険一覧!$S9="",L$4&lt;保険一覧!$S9),IF(保険一覧!$J9="月払",保険一覧!$K9,IF(AND(保険一覧!$J9="年払",MONTH(L$4)=保険一覧!$R9),保険一覧!$K9,0)),0)</f>
        <v>22820</v>
      </c>
      <c r="M10" s="21" t="n">
        <f aca="false">IF(OR(保険一覧!$S9="",M$4&lt;保険一覧!$S9),IF(保険一覧!$J9="月払",保険一覧!$K9,IF(AND(保険一覧!$J9="年払",MONTH(M$4)=保険一覧!$R9),保険一覧!$K9,0)),0)</f>
        <v>22820</v>
      </c>
      <c r="N10" s="21" t="n">
        <f aca="false">IF(OR(保険一覧!$S9="",N$4&lt;保険一覧!$S9),IF(保険一覧!$J9="月払",保険一覧!$K9,IF(AND(保険一覧!$J9="年払",MONTH(N$4)=保険一覧!$R9),保険一覧!$K9,0)),0)</f>
        <v>22820</v>
      </c>
      <c r="O10" s="25" t="n">
        <f aca="false">SUM(C10:N10)</f>
        <v>273840</v>
      </c>
      <c r="P10" s="25" t="n">
        <f aca="false">SUMIFS(C10:N10,$C$4:$N$4,"&gt;="&amp;DATE(2026,10,1),$C$4:$N$4,"&lt;="&amp;DATE(2027,9,1))</f>
        <v>273840</v>
      </c>
    </row>
    <row r="11" customFormat="false" ht="15" hidden="false" customHeight="false" outlineLevel="0" collapsed="false">
      <c r="A11" s="68" t="str">
        <f aca="false">保険一覧!A10&amp;" "&amp;保険一覧!B10&amp;" "&amp;保険一覧!H10</f>
        <v>6 大同生命 横山 清美</v>
      </c>
      <c r="B11" s="68"/>
      <c r="C11" s="21" t="n">
        <f aca="false">IF(OR(保険一覧!$S10="",C$4&lt;保険一覧!$S10),IF(保険一覧!$J10="月払",保険一覧!$K10,IF(AND(保険一覧!$J10="年払",MONTH(C$4)=保険一覧!$R10),保険一覧!$K10,0)),0)</f>
        <v>49130</v>
      </c>
      <c r="D11" s="21" t="n">
        <f aca="false">IF(OR(保険一覧!$S10="",D$4&lt;保険一覧!$S10),IF(保険一覧!$J10="月払",保険一覧!$K10,IF(AND(保険一覧!$J10="年払",MONTH(D$4)=保険一覧!$R10),保険一覧!$K10,0)),0)</f>
        <v>49130</v>
      </c>
      <c r="E11" s="21" t="n">
        <f aca="false">IF(OR(保険一覧!$S10="",E$4&lt;保険一覧!$S10),IF(保険一覧!$J10="月払",保険一覧!$K10,IF(AND(保険一覧!$J10="年払",MONTH(E$4)=保険一覧!$R10),保険一覧!$K10,0)),0)</f>
        <v>49130</v>
      </c>
      <c r="F11" s="21" t="n">
        <f aca="false">IF(OR(保険一覧!$S10="",F$4&lt;保険一覧!$S10),IF(保険一覧!$J10="月払",保険一覧!$K10,IF(AND(保険一覧!$J10="年払",MONTH(F$4)=保険一覧!$R10),保険一覧!$K10,0)),0)</f>
        <v>49130</v>
      </c>
      <c r="G11" s="21" t="n">
        <f aca="false">IF(OR(保険一覧!$S10="",G$4&lt;保険一覧!$S10),IF(保険一覧!$J10="月払",保険一覧!$K10,IF(AND(保険一覧!$J10="年払",MONTH(G$4)=保険一覧!$R10),保険一覧!$K10,0)),0)</f>
        <v>49130</v>
      </c>
      <c r="H11" s="21" t="n">
        <f aca="false">IF(OR(保険一覧!$S10="",H$4&lt;保険一覧!$S10),IF(保険一覧!$J10="月払",保険一覧!$K10,IF(AND(保険一覧!$J10="年払",MONTH(H$4)=保険一覧!$R10),保険一覧!$K10,0)),0)</f>
        <v>49130</v>
      </c>
      <c r="I11" s="21" t="n">
        <f aca="false">IF(OR(保険一覧!$S10="",I$4&lt;保険一覧!$S10),IF(保険一覧!$J10="月払",保険一覧!$K10,IF(AND(保険一覧!$J10="年払",MONTH(I$4)=保険一覧!$R10),保険一覧!$K10,0)),0)</f>
        <v>49130</v>
      </c>
      <c r="J11" s="21" t="n">
        <f aca="false">IF(OR(保険一覧!$S10="",J$4&lt;保険一覧!$S10),IF(保険一覧!$J10="月払",保険一覧!$K10,IF(AND(保険一覧!$J10="年払",MONTH(J$4)=保険一覧!$R10),保険一覧!$K10,0)),0)</f>
        <v>49130</v>
      </c>
      <c r="K11" s="21" t="n">
        <f aca="false">IF(OR(保険一覧!$S10="",K$4&lt;保険一覧!$S10),IF(保険一覧!$J10="月払",保険一覧!$K10,IF(AND(保険一覧!$J10="年払",MONTH(K$4)=保険一覧!$R10),保険一覧!$K10,0)),0)</f>
        <v>49130</v>
      </c>
      <c r="L11" s="21" t="n">
        <f aca="false">IF(OR(保険一覧!$S10="",L$4&lt;保険一覧!$S10),IF(保険一覧!$J10="月払",保険一覧!$K10,IF(AND(保険一覧!$J10="年払",MONTH(L$4)=保険一覧!$R10),保険一覧!$K10,0)),0)</f>
        <v>49130</v>
      </c>
      <c r="M11" s="21" t="n">
        <f aca="false">IF(OR(保険一覧!$S10="",M$4&lt;保険一覧!$S10),IF(保険一覧!$J10="月払",保険一覧!$K10,IF(AND(保険一覧!$J10="年払",MONTH(M$4)=保険一覧!$R10),保険一覧!$K10,0)),0)</f>
        <v>49130</v>
      </c>
      <c r="N11" s="21" t="n">
        <f aca="false">IF(OR(保険一覧!$S10="",N$4&lt;保険一覧!$S10),IF(保険一覧!$J10="月払",保険一覧!$K10,IF(AND(保険一覧!$J10="年払",MONTH(N$4)=保険一覧!$R10),保険一覧!$K10,0)),0)</f>
        <v>49130</v>
      </c>
      <c r="O11" s="25" t="n">
        <f aca="false">SUM(C11:N11)</f>
        <v>589560</v>
      </c>
      <c r="P11" s="25" t="n">
        <f aca="false">SUMIFS(C11:N11,$C$4:$N$4,"&gt;="&amp;DATE(2026,10,1),$C$4:$N$4,"&lt;="&amp;DATE(2027,9,1))</f>
        <v>589560</v>
      </c>
    </row>
    <row r="12" customFormat="false" ht="15" hidden="false" customHeight="false" outlineLevel="0" collapsed="false">
      <c r="A12" s="68" t="str">
        <f aca="false">保険一覧!A11&amp;" "&amp;保険一覧!B11&amp;" "&amp;保険一覧!H11</f>
        <v>7 大同生命 坂本 武</v>
      </c>
      <c r="B12" s="68"/>
      <c r="C12" s="21" t="n">
        <f aca="false">IF(OR(保険一覧!$S11="",C$4&lt;保険一覧!$S11),IF(保険一覧!$J11="月払",保険一覧!$K11,IF(AND(保険一覧!$J11="年払",MONTH(C$4)=保険一覧!$R11),保険一覧!$K11,0)),0)</f>
        <v>505120</v>
      </c>
      <c r="D12" s="21" t="n">
        <f aca="false">IF(OR(保険一覧!$S11="",D$4&lt;保険一覧!$S11),IF(保険一覧!$J11="月払",保険一覧!$K11,IF(AND(保険一覧!$J11="年払",MONTH(D$4)=保険一覧!$R11),保険一覧!$K11,0)),0)</f>
        <v>505120</v>
      </c>
      <c r="E12" s="21" t="n">
        <f aca="false">IF(OR(保険一覧!$S11="",E$4&lt;保険一覧!$S11),IF(保険一覧!$J11="月払",保険一覧!$K11,IF(AND(保険一覧!$J11="年払",MONTH(E$4)=保険一覧!$R11),保険一覧!$K11,0)),0)</f>
        <v>505120</v>
      </c>
      <c r="F12" s="21" t="n">
        <f aca="false">IF(OR(保険一覧!$S11="",F$4&lt;保険一覧!$S11),IF(保険一覧!$J11="月払",保険一覧!$K11,IF(AND(保険一覧!$J11="年払",MONTH(F$4)=保険一覧!$R11),保険一覧!$K11,0)),0)</f>
        <v>505120</v>
      </c>
      <c r="G12" s="21" t="n">
        <f aca="false">IF(OR(保険一覧!$S11="",G$4&lt;保険一覧!$S11),IF(保険一覧!$J11="月払",保険一覧!$K11,IF(AND(保険一覧!$J11="年払",MONTH(G$4)=保険一覧!$R11),保険一覧!$K11,0)),0)</f>
        <v>505120</v>
      </c>
      <c r="H12" s="21" t="n">
        <f aca="false">IF(OR(保険一覧!$S11="",H$4&lt;保険一覧!$S11),IF(保険一覧!$J11="月払",保険一覧!$K11,IF(AND(保険一覧!$J11="年払",MONTH(H$4)=保険一覧!$R11),保険一覧!$K11,0)),0)</f>
        <v>505120</v>
      </c>
      <c r="I12" s="21" t="n">
        <f aca="false">IF(OR(保険一覧!$S11="",I$4&lt;保険一覧!$S11),IF(保険一覧!$J11="月払",保険一覧!$K11,IF(AND(保険一覧!$J11="年払",MONTH(I$4)=保険一覧!$R11),保険一覧!$K11,0)),0)</f>
        <v>505120</v>
      </c>
      <c r="J12" s="21" t="n">
        <f aca="false">IF(OR(保険一覧!$S11="",J$4&lt;保険一覧!$S11),IF(保険一覧!$J11="月払",保険一覧!$K11,IF(AND(保険一覧!$J11="年払",MONTH(J$4)=保険一覧!$R11),保険一覧!$K11,0)),0)</f>
        <v>505120</v>
      </c>
      <c r="K12" s="21" t="n">
        <f aca="false">IF(OR(保険一覧!$S11="",K$4&lt;保険一覧!$S11),IF(保険一覧!$J11="月払",保険一覧!$K11,IF(AND(保険一覧!$J11="年払",MONTH(K$4)=保険一覧!$R11),保険一覧!$K11,0)),0)</f>
        <v>505120</v>
      </c>
      <c r="L12" s="21" t="n">
        <f aca="false">IF(OR(保険一覧!$S11="",L$4&lt;保険一覧!$S11),IF(保険一覧!$J11="月払",保険一覧!$K11,IF(AND(保険一覧!$J11="年払",MONTH(L$4)=保険一覧!$R11),保険一覧!$K11,0)),0)</f>
        <v>505120</v>
      </c>
      <c r="M12" s="21" t="n">
        <f aca="false">IF(OR(保険一覧!$S11="",M$4&lt;保険一覧!$S11),IF(保険一覧!$J11="月払",保険一覧!$K11,IF(AND(保険一覧!$J11="年払",MONTH(M$4)=保険一覧!$R11),保険一覧!$K11,0)),0)</f>
        <v>505120</v>
      </c>
      <c r="N12" s="21" t="n">
        <f aca="false">IF(OR(保険一覧!$S11="",N$4&lt;保険一覧!$S11),IF(保険一覧!$J11="月払",保険一覧!$K11,IF(AND(保険一覧!$J11="年払",MONTH(N$4)=保険一覧!$R11),保険一覧!$K11,0)),0)</f>
        <v>505120</v>
      </c>
      <c r="O12" s="25" t="n">
        <f aca="false">SUM(C12:N12)</f>
        <v>6061440</v>
      </c>
      <c r="P12" s="25" t="n">
        <f aca="false">SUMIFS(C12:N12,$C$4:$N$4,"&gt;="&amp;DATE(2026,10,1),$C$4:$N$4,"&lt;="&amp;DATE(2027,9,1))</f>
        <v>6061440</v>
      </c>
    </row>
    <row r="13" customFormat="false" ht="15" hidden="false" customHeight="false" outlineLevel="0" collapsed="false">
      <c r="A13" s="68" t="str">
        <f aca="false">保険一覧!A12&amp;" "&amp;保険一覧!B12&amp;" "&amp;保険一覧!H12</f>
        <v>8 大同生命 横山 清美</v>
      </c>
      <c r="B13" s="68"/>
      <c r="C13" s="21" t="n">
        <f aca="false">IF(OR(保険一覧!$S12="",C$4&lt;保険一覧!$S12),IF(保険一覧!$J12="月払",保険一覧!$K12,IF(AND(保険一覧!$J12="年払",MONTH(C$4)=保険一覧!$R12),保険一覧!$K12,0)),0)</f>
        <v>57687</v>
      </c>
      <c r="D13" s="21" t="n">
        <f aca="false">IF(OR(保険一覧!$S12="",D$4&lt;保険一覧!$S12),IF(保険一覧!$J12="月払",保険一覧!$K12,IF(AND(保険一覧!$J12="年払",MONTH(D$4)=保険一覧!$R12),保険一覧!$K12,0)),0)</f>
        <v>57687</v>
      </c>
      <c r="E13" s="21" t="n">
        <f aca="false">IF(OR(保険一覧!$S12="",E$4&lt;保険一覧!$S12),IF(保険一覧!$J12="月払",保険一覧!$K12,IF(AND(保険一覧!$J12="年払",MONTH(E$4)=保険一覧!$R12),保険一覧!$K12,0)),0)</f>
        <v>57687</v>
      </c>
      <c r="F13" s="21" t="n">
        <f aca="false">IF(OR(保険一覧!$S12="",F$4&lt;保険一覧!$S12),IF(保険一覧!$J12="月払",保険一覧!$K12,IF(AND(保険一覧!$J12="年払",MONTH(F$4)=保険一覧!$R12),保険一覧!$K12,0)),0)</f>
        <v>57687</v>
      </c>
      <c r="G13" s="21" t="n">
        <f aca="false">IF(OR(保険一覧!$S12="",G$4&lt;保険一覧!$S12),IF(保険一覧!$J12="月払",保険一覧!$K12,IF(AND(保険一覧!$J12="年払",MONTH(G$4)=保険一覧!$R12),保険一覧!$K12,0)),0)</f>
        <v>57687</v>
      </c>
      <c r="H13" s="21" t="n">
        <f aca="false">IF(OR(保険一覧!$S12="",H$4&lt;保険一覧!$S12),IF(保険一覧!$J12="月払",保険一覧!$K12,IF(AND(保険一覧!$J12="年払",MONTH(H$4)=保険一覧!$R12),保険一覧!$K12,0)),0)</f>
        <v>57687</v>
      </c>
      <c r="I13" s="21" t="n">
        <f aca="false">IF(OR(保険一覧!$S12="",I$4&lt;保険一覧!$S12),IF(保険一覧!$J12="月払",保険一覧!$K12,IF(AND(保険一覧!$J12="年払",MONTH(I$4)=保険一覧!$R12),保険一覧!$K12,0)),0)</f>
        <v>57687</v>
      </c>
      <c r="J13" s="21" t="n">
        <f aca="false">IF(OR(保険一覧!$S12="",J$4&lt;保険一覧!$S12),IF(保険一覧!$J12="月払",保険一覧!$K12,IF(AND(保険一覧!$J12="年払",MONTH(J$4)=保険一覧!$R12),保険一覧!$K12,0)),0)</f>
        <v>57687</v>
      </c>
      <c r="K13" s="21" t="n">
        <f aca="false">IF(OR(保険一覧!$S12="",K$4&lt;保険一覧!$S12),IF(保険一覧!$J12="月払",保険一覧!$K12,IF(AND(保険一覧!$J12="年払",MONTH(K$4)=保険一覧!$R12),保険一覧!$K12,0)),0)</f>
        <v>57687</v>
      </c>
      <c r="L13" s="21" t="n">
        <f aca="false">IF(OR(保険一覧!$S12="",L$4&lt;保険一覧!$S12),IF(保険一覧!$J12="月払",保険一覧!$K12,IF(AND(保険一覧!$J12="年払",MONTH(L$4)=保険一覧!$R12),保険一覧!$K12,0)),0)</f>
        <v>57687</v>
      </c>
      <c r="M13" s="21" t="n">
        <f aca="false">IF(OR(保険一覧!$S12="",M$4&lt;保険一覧!$S12),IF(保険一覧!$J12="月払",保険一覧!$K12,IF(AND(保険一覧!$J12="年払",MONTH(M$4)=保険一覧!$R12),保険一覧!$K12,0)),0)</f>
        <v>57687</v>
      </c>
      <c r="N13" s="21" t="n">
        <f aca="false">IF(OR(保険一覧!$S12="",N$4&lt;保険一覧!$S12),IF(保険一覧!$J12="月払",保険一覧!$K12,IF(AND(保険一覧!$J12="年払",MONTH(N$4)=保険一覧!$R12),保険一覧!$K12,0)),0)</f>
        <v>57687</v>
      </c>
      <c r="O13" s="25" t="n">
        <f aca="false">SUM(C13:N13)</f>
        <v>692244</v>
      </c>
      <c r="P13" s="25" t="n">
        <f aca="false">SUMIFS(C13:N13,$C$4:$N$4,"&gt;="&amp;DATE(2026,10,1),$C$4:$N$4,"&lt;="&amp;DATE(2027,9,1))</f>
        <v>692244</v>
      </c>
    </row>
    <row r="14" customFormat="false" ht="15" hidden="false" customHeight="false" outlineLevel="0" collapsed="false">
      <c r="A14" s="68" t="str">
        <f aca="false">保険一覧!A13&amp;" "&amp;保険一覧!B13&amp;" "&amp;保険一覧!H13</f>
        <v>9 大同生命 坂本 麻莉</v>
      </c>
      <c r="B14" s="68"/>
      <c r="C14" s="21" t="n">
        <f aca="false">IF(OR(保険一覧!$S13="",C$4&lt;保険一覧!$S13),IF(保険一覧!$J13="月払",保険一覧!$K13,IF(AND(保険一覧!$J13="年払",MONTH(C$4)=保険一覧!$R13),保険一覧!$K13,0)),0)</f>
        <v>179573</v>
      </c>
      <c r="D14" s="21" t="n">
        <f aca="false">IF(OR(保険一覧!$S13="",D$4&lt;保険一覧!$S13),IF(保険一覧!$J13="月払",保険一覧!$K13,IF(AND(保険一覧!$J13="年払",MONTH(D$4)=保険一覧!$R13),保険一覧!$K13,0)),0)</f>
        <v>179573</v>
      </c>
      <c r="E14" s="21" t="n">
        <f aca="false">IF(OR(保険一覧!$S13="",E$4&lt;保険一覧!$S13),IF(保険一覧!$J13="月払",保険一覧!$K13,IF(AND(保険一覧!$J13="年払",MONTH(E$4)=保険一覧!$R13),保険一覧!$K13,0)),0)</f>
        <v>179573</v>
      </c>
      <c r="F14" s="21" t="n">
        <f aca="false">IF(OR(保険一覧!$S13="",F$4&lt;保険一覧!$S13),IF(保険一覧!$J13="月払",保険一覧!$K13,IF(AND(保険一覧!$J13="年払",MONTH(F$4)=保険一覧!$R13),保険一覧!$K13,0)),0)</f>
        <v>179573</v>
      </c>
      <c r="G14" s="21" t="n">
        <f aca="false">IF(OR(保険一覧!$S13="",G$4&lt;保険一覧!$S13),IF(保険一覧!$J13="月払",保険一覧!$K13,IF(AND(保険一覧!$J13="年払",MONTH(G$4)=保険一覧!$R13),保険一覧!$K13,0)),0)</f>
        <v>179573</v>
      </c>
      <c r="H14" s="21" t="n">
        <f aca="false">IF(OR(保険一覧!$S13="",H$4&lt;保険一覧!$S13),IF(保険一覧!$J13="月払",保険一覧!$K13,IF(AND(保険一覧!$J13="年払",MONTH(H$4)=保険一覧!$R13),保険一覧!$K13,0)),0)</f>
        <v>179573</v>
      </c>
      <c r="I14" s="21" t="n">
        <f aca="false">IF(OR(保険一覧!$S13="",I$4&lt;保険一覧!$S13),IF(保険一覧!$J13="月払",保険一覧!$K13,IF(AND(保険一覧!$J13="年払",MONTH(I$4)=保険一覧!$R13),保険一覧!$K13,0)),0)</f>
        <v>179573</v>
      </c>
      <c r="J14" s="21" t="n">
        <f aca="false">IF(OR(保険一覧!$S13="",J$4&lt;保険一覧!$S13),IF(保険一覧!$J13="月払",保険一覧!$K13,IF(AND(保険一覧!$J13="年払",MONTH(J$4)=保険一覧!$R13),保険一覧!$K13,0)),0)</f>
        <v>179573</v>
      </c>
      <c r="K14" s="21" t="n">
        <f aca="false">IF(OR(保険一覧!$S13="",K$4&lt;保険一覧!$S13),IF(保険一覧!$J13="月払",保険一覧!$K13,IF(AND(保険一覧!$J13="年払",MONTH(K$4)=保険一覧!$R13),保険一覧!$K13,0)),0)</f>
        <v>179573</v>
      </c>
      <c r="L14" s="21" t="n">
        <f aca="false">IF(OR(保険一覧!$S13="",L$4&lt;保険一覧!$S13),IF(保険一覧!$J13="月払",保険一覧!$K13,IF(AND(保険一覧!$J13="年払",MONTH(L$4)=保険一覧!$R13),保険一覧!$K13,0)),0)</f>
        <v>179573</v>
      </c>
      <c r="M14" s="21" t="n">
        <f aca="false">IF(OR(保険一覧!$S13="",M$4&lt;保険一覧!$S13),IF(保険一覧!$J13="月払",保険一覧!$K13,IF(AND(保険一覧!$J13="年払",MONTH(M$4)=保険一覧!$R13),保険一覧!$K13,0)),0)</f>
        <v>179573</v>
      </c>
      <c r="N14" s="21" t="n">
        <f aca="false">IF(OR(保険一覧!$S13="",N$4&lt;保険一覧!$S13),IF(保険一覧!$J13="月払",保険一覧!$K13,IF(AND(保険一覧!$J13="年払",MONTH(N$4)=保険一覧!$R13),保険一覧!$K13,0)),0)</f>
        <v>179573</v>
      </c>
      <c r="O14" s="25" t="n">
        <f aca="false">SUM(C14:N14)</f>
        <v>2154876</v>
      </c>
      <c r="P14" s="25" t="n">
        <f aca="false">SUMIFS(C14:N14,$C$4:$N$4,"&gt;="&amp;DATE(2026,10,1),$C$4:$N$4,"&lt;="&amp;DATE(2027,9,1))</f>
        <v>2154876</v>
      </c>
    </row>
    <row r="15" customFormat="false" ht="15" hidden="false" customHeight="false" outlineLevel="0" collapsed="false">
      <c r="A15" s="68" t="str">
        <f aca="false">保険一覧!A14&amp;" "&amp;保険一覧!B14&amp;" "&amp;保険一覧!H14</f>
        <v>10 大同生命 坂本 麻莉</v>
      </c>
      <c r="B15" s="68"/>
      <c r="C15" s="21" t="n">
        <f aca="false">IF(OR(保険一覧!$S14="",C$4&lt;保険一覧!$S14),IF(保険一覧!$J14="月払",保険一覧!$K14,IF(AND(保険一覧!$J14="年払",MONTH(C$4)=保険一覧!$R14),保険一覧!$K14,0)),0)</f>
        <v>49628</v>
      </c>
      <c r="D15" s="21" t="n">
        <f aca="false">IF(OR(保険一覧!$S14="",D$4&lt;保険一覧!$S14),IF(保険一覧!$J14="月払",保険一覧!$K14,IF(AND(保険一覧!$J14="年払",MONTH(D$4)=保険一覧!$R14),保険一覧!$K14,0)),0)</f>
        <v>49628</v>
      </c>
      <c r="E15" s="21" t="n">
        <f aca="false">IF(OR(保険一覧!$S14="",E$4&lt;保険一覧!$S14),IF(保険一覧!$J14="月払",保険一覧!$K14,IF(AND(保険一覧!$J14="年払",MONTH(E$4)=保険一覧!$R14),保険一覧!$K14,0)),0)</f>
        <v>49628</v>
      </c>
      <c r="F15" s="21" t="n">
        <f aca="false">IF(OR(保険一覧!$S14="",F$4&lt;保険一覧!$S14),IF(保険一覧!$J14="月払",保険一覧!$K14,IF(AND(保険一覧!$J14="年払",MONTH(F$4)=保険一覧!$R14),保険一覧!$K14,0)),0)</f>
        <v>49628</v>
      </c>
      <c r="G15" s="21" t="n">
        <f aca="false">IF(OR(保険一覧!$S14="",G$4&lt;保険一覧!$S14),IF(保険一覧!$J14="月払",保険一覧!$K14,IF(AND(保険一覧!$J14="年払",MONTH(G$4)=保険一覧!$R14),保険一覧!$K14,0)),0)</f>
        <v>49628</v>
      </c>
      <c r="H15" s="21" t="n">
        <f aca="false">IF(OR(保険一覧!$S14="",H$4&lt;保険一覧!$S14),IF(保険一覧!$J14="月払",保険一覧!$K14,IF(AND(保険一覧!$J14="年払",MONTH(H$4)=保険一覧!$R14),保険一覧!$K14,0)),0)</f>
        <v>49628</v>
      </c>
      <c r="I15" s="21" t="n">
        <f aca="false">IF(OR(保険一覧!$S14="",I$4&lt;保険一覧!$S14),IF(保険一覧!$J14="月払",保険一覧!$K14,IF(AND(保険一覧!$J14="年払",MONTH(I$4)=保険一覧!$R14),保険一覧!$K14,0)),0)</f>
        <v>49628</v>
      </c>
      <c r="J15" s="21" t="n">
        <f aca="false">IF(OR(保険一覧!$S14="",J$4&lt;保険一覧!$S14),IF(保険一覧!$J14="月払",保険一覧!$K14,IF(AND(保険一覧!$J14="年払",MONTH(J$4)=保険一覧!$R14),保険一覧!$K14,0)),0)</f>
        <v>49628</v>
      </c>
      <c r="K15" s="21" t="n">
        <f aca="false">IF(OR(保険一覧!$S14="",K$4&lt;保険一覧!$S14),IF(保険一覧!$J14="月払",保険一覧!$K14,IF(AND(保険一覧!$J14="年払",MONTH(K$4)=保険一覧!$R14),保険一覧!$K14,0)),0)</f>
        <v>49628</v>
      </c>
      <c r="L15" s="21" t="n">
        <f aca="false">IF(OR(保険一覧!$S14="",L$4&lt;保険一覧!$S14),IF(保険一覧!$J14="月払",保険一覧!$K14,IF(AND(保険一覧!$J14="年払",MONTH(L$4)=保険一覧!$R14),保険一覧!$K14,0)),0)</f>
        <v>49628</v>
      </c>
      <c r="M15" s="21" t="n">
        <f aca="false">IF(OR(保険一覧!$S14="",M$4&lt;保険一覧!$S14),IF(保険一覧!$J14="月払",保険一覧!$K14,IF(AND(保険一覧!$J14="年払",MONTH(M$4)=保険一覧!$R14),保険一覧!$K14,0)),0)</f>
        <v>49628</v>
      </c>
      <c r="N15" s="21" t="n">
        <f aca="false">IF(OR(保険一覧!$S14="",N$4&lt;保険一覧!$S14),IF(保険一覧!$J14="月払",保険一覧!$K14,IF(AND(保険一覧!$J14="年払",MONTH(N$4)=保険一覧!$R14),保険一覧!$K14,0)),0)</f>
        <v>49628</v>
      </c>
      <c r="O15" s="25" t="n">
        <f aca="false">SUM(C15:N15)</f>
        <v>595536</v>
      </c>
      <c r="P15" s="25" t="n">
        <f aca="false">SUMIFS(C15:N15,$C$4:$N$4,"&gt;="&amp;DATE(2026,10,1),$C$4:$N$4,"&lt;="&amp;DATE(2027,9,1))</f>
        <v>595536</v>
      </c>
    </row>
    <row r="16" customFormat="false" ht="15" hidden="false" customHeight="false" outlineLevel="0" collapsed="false">
      <c r="A16" s="68" t="str">
        <f aca="false">保険一覧!A15&amp;" "&amp;保険一覧!B15&amp;" "&amp;保険一覧!H15</f>
        <v>11 大同生命 坂本 武</v>
      </c>
      <c r="B16" s="68"/>
      <c r="C16" s="21" t="n">
        <f aca="false">IF(OR(保険一覧!$S15="",C$4&lt;保険一覧!$S15),IF(保険一覧!$J15="月払",保険一覧!$K15,IF(AND(保険一覧!$J15="年払",MONTH(C$4)=保険一覧!$R15),保険一覧!$K15,0)),0)</f>
        <v>0</v>
      </c>
      <c r="D16" s="21" t="n">
        <f aca="false">IF(OR(保険一覧!$S15="",D$4&lt;保険一覧!$S15),IF(保険一覧!$J15="月払",保険一覧!$K15,IF(AND(保険一覧!$J15="年払",MONTH(D$4)=保険一覧!$R15),保険一覧!$K15,0)),0)</f>
        <v>0</v>
      </c>
      <c r="E16" s="21" t="n">
        <f aca="false">IF(OR(保険一覧!$S15="",E$4&lt;保険一覧!$S15),IF(保険一覧!$J15="月払",保険一覧!$K15,IF(AND(保険一覧!$J15="年払",MONTH(E$4)=保険一覧!$R15),保険一覧!$K15,0)),0)</f>
        <v>0</v>
      </c>
      <c r="F16" s="21" t="n">
        <f aca="false">IF(OR(保険一覧!$S15="",F$4&lt;保険一覧!$S15),IF(保険一覧!$J15="月払",保険一覧!$K15,IF(AND(保険一覧!$J15="年払",MONTH(F$4)=保険一覧!$R15),保険一覧!$K15,0)),0)</f>
        <v>0</v>
      </c>
      <c r="G16" s="21" t="n">
        <f aca="false">IF(OR(保険一覧!$S15="",G$4&lt;保険一覧!$S15),IF(保険一覧!$J15="月払",保険一覧!$K15,IF(AND(保険一覧!$J15="年払",MONTH(G$4)=保険一覧!$R15),保険一覧!$K15,0)),0)</f>
        <v>0</v>
      </c>
      <c r="H16" s="21" t="n">
        <f aca="false">IF(OR(保険一覧!$S15="",H$4&lt;保険一覧!$S15),IF(保険一覧!$J15="月払",保険一覧!$K15,IF(AND(保険一覧!$J15="年払",MONTH(H$4)=保険一覧!$R15),保険一覧!$K15,0)),0)</f>
        <v>0</v>
      </c>
      <c r="I16" s="21" t="n">
        <f aca="false">IF(OR(保険一覧!$S15="",I$4&lt;保険一覧!$S15),IF(保険一覧!$J15="月払",保険一覧!$K15,IF(AND(保険一覧!$J15="年払",MONTH(I$4)=保険一覧!$R15),保険一覧!$K15,0)),0)</f>
        <v>0</v>
      </c>
      <c r="J16" s="21" t="n">
        <f aca="false">IF(OR(保険一覧!$S15="",J$4&lt;保険一覧!$S15),IF(保険一覧!$J15="月払",保険一覧!$K15,IF(AND(保険一覧!$J15="年払",MONTH(J$4)=保険一覧!$R15),保険一覧!$K15,0)),0)</f>
        <v>0</v>
      </c>
      <c r="K16" s="21" t="n">
        <f aca="false">IF(OR(保険一覧!$S15="",K$4&lt;保険一覧!$S15),IF(保険一覧!$J15="月払",保険一覧!$K15,IF(AND(保険一覧!$J15="年払",MONTH(K$4)=保険一覧!$R15),保険一覧!$K15,0)),0)</f>
        <v>5698547</v>
      </c>
      <c r="L16" s="21" t="n">
        <f aca="false">IF(OR(保険一覧!$S15="",L$4&lt;保険一覧!$S15),IF(保険一覧!$J15="月払",保険一覧!$K15,IF(AND(保険一覧!$J15="年払",MONTH(L$4)=保険一覧!$R15),保険一覧!$K15,0)),0)</f>
        <v>0</v>
      </c>
      <c r="M16" s="21" t="n">
        <f aca="false">IF(OR(保険一覧!$S15="",M$4&lt;保険一覧!$S15),IF(保険一覧!$J15="月払",保険一覧!$K15,IF(AND(保険一覧!$J15="年払",MONTH(M$4)=保険一覧!$R15),保険一覧!$K15,0)),0)</f>
        <v>0</v>
      </c>
      <c r="N16" s="21" t="n">
        <f aca="false">IF(OR(保険一覧!$S15="",N$4&lt;保険一覧!$S15),IF(保険一覧!$J15="月払",保険一覧!$K15,IF(AND(保険一覧!$J15="年払",MONTH(N$4)=保険一覧!$R15),保険一覧!$K15,0)),0)</f>
        <v>0</v>
      </c>
      <c r="O16" s="25" t="n">
        <f aca="false">SUM(C16:N16)</f>
        <v>5698547</v>
      </c>
      <c r="P16" s="25" t="n">
        <f aca="false">SUMIFS(C16:N16,$C$4:$N$4,"&gt;="&amp;DATE(2026,10,1),$C$4:$N$4,"&lt;="&amp;DATE(2027,9,1))</f>
        <v>5698547</v>
      </c>
    </row>
    <row r="17" customFormat="false" ht="15" hidden="false" customHeight="false" outlineLevel="0" collapsed="false">
      <c r="A17" s="68" t="str">
        <f aca="false">保険一覧!A16&amp;" "&amp;保険一覧!B16&amp;" "&amp;保険一覧!H16</f>
        <v>12 大同生命 Ｔ 岡田 淳</v>
      </c>
      <c r="B17" s="68"/>
      <c r="C17" s="21" t="n">
        <f aca="false">IF(OR(保険一覧!$S16="",C$4&lt;保険一覧!$S16),IF(保険一覧!$J16="月払",保険一覧!$K16,IF(AND(保険一覧!$J16="年払",MONTH(C$4)=保険一覧!$R16),保険一覧!$K16,0)),0)</f>
        <v>0</v>
      </c>
      <c r="D17" s="21" t="n">
        <f aca="false">IF(OR(保険一覧!$S16="",D$4&lt;保険一覧!$S16),IF(保険一覧!$J16="月払",保険一覧!$K16,IF(AND(保険一覧!$J16="年払",MONTH(D$4)=保険一覧!$R16),保険一覧!$K16,0)),0)</f>
        <v>0</v>
      </c>
      <c r="E17" s="21" t="n">
        <f aca="false">IF(OR(保険一覧!$S16="",E$4&lt;保険一覧!$S16),IF(保険一覧!$J16="月払",保険一覧!$K16,IF(AND(保険一覧!$J16="年払",MONTH(E$4)=保険一覧!$R16),保険一覧!$K16,0)),0)</f>
        <v>0</v>
      </c>
      <c r="F17" s="21" t="n">
        <f aca="false">IF(OR(保険一覧!$S16="",F$4&lt;保険一覧!$S16),IF(保険一覧!$J16="月払",保険一覧!$K16,IF(AND(保険一覧!$J16="年払",MONTH(F$4)=保険一覧!$R16),保険一覧!$K16,0)),0)</f>
        <v>0</v>
      </c>
      <c r="G17" s="21" t="n">
        <f aca="false">IF(OR(保険一覧!$S16="",G$4&lt;保険一覧!$S16),IF(保険一覧!$J16="月払",保険一覧!$K16,IF(AND(保険一覧!$J16="年払",MONTH(G$4)=保険一覧!$R16),保険一覧!$K16,0)),0)</f>
        <v>0</v>
      </c>
      <c r="H17" s="21" t="n">
        <f aca="false">IF(OR(保険一覧!$S16="",H$4&lt;保険一覧!$S16),IF(保険一覧!$J16="月払",保険一覧!$K16,IF(AND(保険一覧!$J16="年払",MONTH(H$4)=保険一覧!$R16),保険一覧!$K16,0)),0)</f>
        <v>0</v>
      </c>
      <c r="I17" s="21" t="n">
        <f aca="false">IF(OR(保険一覧!$S16="",I$4&lt;保険一覧!$S16),IF(保険一覧!$J16="月払",保険一覧!$K16,IF(AND(保険一覧!$J16="年払",MONTH(I$4)=保険一覧!$R16),保険一覧!$K16,0)),0)</f>
        <v>0</v>
      </c>
      <c r="J17" s="21" t="n">
        <f aca="false">IF(OR(保険一覧!$S16="",J$4&lt;保険一覧!$S16),IF(保険一覧!$J16="月払",保険一覧!$K16,IF(AND(保険一覧!$J16="年払",MONTH(J$4)=保険一覧!$R16),保険一覧!$K16,0)),0)</f>
        <v>0</v>
      </c>
      <c r="K17" s="21" t="n">
        <f aca="false">IF(OR(保険一覧!$S16="",K$4&lt;保険一覧!$S16),IF(保険一覧!$J16="月払",保険一覧!$K16,IF(AND(保険一覧!$J16="年払",MONTH(K$4)=保険一覧!$R16),保険一覧!$K16,0)),0)</f>
        <v>0</v>
      </c>
      <c r="L17" s="21" t="n">
        <f aca="false">IF(OR(保険一覧!$S16="",L$4&lt;保険一覧!$S16),IF(保険一覧!$J16="月払",保険一覧!$K16,IF(AND(保険一覧!$J16="年払",MONTH(L$4)=保険一覧!$R16),保険一覧!$K16,0)),0)</f>
        <v>1707660</v>
      </c>
      <c r="M17" s="21" t="n">
        <f aca="false">IF(OR(保険一覧!$S16="",M$4&lt;保険一覧!$S16),IF(保険一覧!$J16="月払",保険一覧!$K16,IF(AND(保険一覧!$J16="年払",MONTH(M$4)=保険一覧!$R16),保険一覧!$K16,0)),0)</f>
        <v>0</v>
      </c>
      <c r="N17" s="21" t="n">
        <f aca="false">IF(OR(保険一覧!$S16="",N$4&lt;保険一覧!$S16),IF(保険一覧!$J16="月払",保険一覧!$K16,IF(AND(保険一覧!$J16="年払",MONTH(N$4)=保険一覧!$R16),保険一覧!$K16,0)),0)</f>
        <v>0</v>
      </c>
      <c r="O17" s="25" t="n">
        <f aca="false">SUM(C17:N17)</f>
        <v>1707660</v>
      </c>
      <c r="P17" s="25" t="n">
        <f aca="false">SUMIFS(C17:N17,$C$4:$N$4,"&gt;="&amp;DATE(2026,10,1),$C$4:$N$4,"&lt;="&amp;DATE(2027,9,1))</f>
        <v>1707660</v>
      </c>
    </row>
    <row r="18" customFormat="false" ht="15" hidden="false" customHeight="false" outlineLevel="0" collapsed="false">
      <c r="A18" s="68" t="str">
        <f aca="false">保険一覧!A17&amp;" "&amp;保険一覧!B17&amp;" "&amp;保険一覧!H17</f>
        <v>13 日本生命 坂本 信</v>
      </c>
      <c r="B18" s="68"/>
      <c r="C18" s="21" t="n">
        <f aca="false">IF(OR(保険一覧!$S17="",C$4&lt;保険一覧!$S17),IF(保険一覧!$J17="月払",保険一覧!$K17,IF(AND(保険一覧!$J17="年払",MONTH(C$4)=保険一覧!$R17),保険一覧!$K17,0)),0)</f>
        <v>0</v>
      </c>
      <c r="D18" s="21" t="n">
        <f aca="false">IF(OR(保険一覧!$S17="",D$4&lt;保険一覧!$S17),IF(保険一覧!$J17="月払",保険一覧!$K17,IF(AND(保険一覧!$J17="年払",MONTH(D$4)=保険一覧!$R17),保険一覧!$K17,0)),0)</f>
        <v>0</v>
      </c>
      <c r="E18" s="21" t="n">
        <f aca="false">IF(OR(保険一覧!$S17="",E$4&lt;保険一覧!$S17),IF(保険一覧!$J17="月払",保険一覧!$K17,IF(AND(保険一覧!$J17="年払",MONTH(E$4)=保険一覧!$R17),保険一覧!$K17,0)),0)</f>
        <v>0</v>
      </c>
      <c r="F18" s="21" t="n">
        <f aca="false">IF(OR(保険一覧!$S17="",F$4&lt;保険一覧!$S17),IF(保険一覧!$J17="月払",保険一覧!$K17,IF(AND(保険一覧!$J17="年払",MONTH(F$4)=保険一覧!$R17),保険一覧!$K17,0)),0)</f>
        <v>0</v>
      </c>
      <c r="G18" s="21" t="n">
        <f aca="false">IF(OR(保険一覧!$S17="",G$4&lt;保険一覧!$S17),IF(保険一覧!$J17="月払",保険一覧!$K17,IF(AND(保険一覧!$J17="年払",MONTH(G$4)=保険一覧!$R17),保険一覧!$K17,0)),0)</f>
        <v>0</v>
      </c>
      <c r="H18" s="21" t="n">
        <f aca="false">IF(OR(保険一覧!$S17="",H$4&lt;保険一覧!$S17),IF(保険一覧!$J17="月払",保険一覧!$K17,IF(AND(保険一覧!$J17="年払",MONTH(H$4)=保険一覧!$R17),保険一覧!$K17,0)),0)</f>
        <v>0</v>
      </c>
      <c r="I18" s="21" t="n">
        <f aca="false">IF(OR(保険一覧!$S17="",I$4&lt;保険一覧!$S17),IF(保険一覧!$J17="月払",保険一覧!$K17,IF(AND(保険一覧!$J17="年払",MONTH(I$4)=保険一覧!$R17),保険一覧!$K17,0)),0)</f>
        <v>0</v>
      </c>
      <c r="J18" s="21" t="n">
        <f aca="false">IF(OR(保険一覧!$S17="",J$4&lt;保険一覧!$S17),IF(保険一覧!$J17="月払",保険一覧!$K17,IF(AND(保険一覧!$J17="年払",MONTH(J$4)=保険一覧!$R17),保険一覧!$K17,0)),0)</f>
        <v>0</v>
      </c>
      <c r="K18" s="21" t="n">
        <f aca="false">IF(OR(保険一覧!$S17="",K$4&lt;保険一覧!$S17),IF(保険一覧!$J17="月払",保険一覧!$K17,IF(AND(保険一覧!$J17="年払",MONTH(K$4)=保険一覧!$R17),保険一覧!$K17,0)),0)</f>
        <v>3027080</v>
      </c>
      <c r="L18" s="21" t="n">
        <f aca="false">IF(OR(保険一覧!$S17="",L$4&lt;保険一覧!$S17),IF(保険一覧!$J17="月払",保険一覧!$K17,IF(AND(保険一覧!$J17="年払",MONTH(L$4)=保険一覧!$R17),保険一覧!$K17,0)),0)</f>
        <v>0</v>
      </c>
      <c r="M18" s="21" t="n">
        <f aca="false">IF(OR(保険一覧!$S17="",M$4&lt;保険一覧!$S17),IF(保険一覧!$J17="月払",保険一覧!$K17,IF(AND(保険一覧!$J17="年払",MONTH(M$4)=保険一覧!$R17),保険一覧!$K17,0)),0)</f>
        <v>0</v>
      </c>
      <c r="N18" s="21" t="n">
        <f aca="false">IF(OR(保険一覧!$S17="",N$4&lt;保険一覧!$S17),IF(保険一覧!$J17="月払",保険一覧!$K17,IF(AND(保険一覧!$J17="年払",MONTH(N$4)=保険一覧!$R17),保険一覧!$K17,0)),0)</f>
        <v>0</v>
      </c>
      <c r="O18" s="25" t="n">
        <f aca="false">SUM(C18:N18)</f>
        <v>3027080</v>
      </c>
      <c r="P18" s="25" t="n">
        <f aca="false">SUMIFS(C18:N18,$C$4:$N$4,"&gt;="&amp;DATE(2026,10,1),$C$4:$N$4,"&lt;="&amp;DATE(2027,9,1))</f>
        <v>3027080</v>
      </c>
    </row>
    <row r="19" customFormat="false" ht="15" hidden="false" customHeight="false" outlineLevel="0" collapsed="false">
      <c r="A19" s="68" t="str">
        <f aca="false">保険一覧!A18&amp;" "&amp;保険一覧!B18&amp;" "&amp;保険一覧!H18</f>
        <v>14 日本生命 坂本 信</v>
      </c>
      <c r="B19" s="68"/>
      <c r="C19" s="21" t="n">
        <f aca="false">IF(OR(保険一覧!$S18="",C$4&lt;保険一覧!$S18),IF(保険一覧!$J18="月払",保険一覧!$K18,IF(AND(保険一覧!$J18="年払",MONTH(C$4)=保険一覧!$R18),保険一覧!$K18,0)),0)</f>
        <v>0</v>
      </c>
      <c r="D19" s="21" t="n">
        <f aca="false">IF(OR(保険一覧!$S18="",D$4&lt;保険一覧!$S18),IF(保険一覧!$J18="月払",保険一覧!$K18,IF(AND(保険一覧!$J18="年払",MONTH(D$4)=保険一覧!$R18),保険一覧!$K18,0)),0)</f>
        <v>0</v>
      </c>
      <c r="E19" s="21" t="n">
        <f aca="false">IF(OR(保険一覧!$S18="",E$4&lt;保険一覧!$S18),IF(保険一覧!$J18="月払",保険一覧!$K18,IF(AND(保険一覧!$J18="年払",MONTH(E$4)=保険一覧!$R18),保険一覧!$K18,0)),0)</f>
        <v>0</v>
      </c>
      <c r="F19" s="21" t="n">
        <f aca="false">IF(OR(保険一覧!$S18="",F$4&lt;保険一覧!$S18),IF(保険一覧!$J18="月払",保険一覧!$K18,IF(AND(保険一覧!$J18="年払",MONTH(F$4)=保険一覧!$R18),保険一覧!$K18,0)),0)</f>
        <v>0</v>
      </c>
      <c r="G19" s="21" t="n">
        <f aca="false">IF(OR(保険一覧!$S18="",G$4&lt;保険一覧!$S18),IF(保険一覧!$J18="月払",保険一覧!$K18,IF(AND(保険一覧!$J18="年払",MONTH(G$4)=保険一覧!$R18),保険一覧!$K18,0)),0)</f>
        <v>0</v>
      </c>
      <c r="H19" s="21" t="n">
        <f aca="false">IF(OR(保険一覧!$S18="",H$4&lt;保険一覧!$S18),IF(保険一覧!$J18="月払",保険一覧!$K18,IF(AND(保険一覧!$J18="年払",MONTH(H$4)=保険一覧!$R18),保険一覧!$K18,0)),0)</f>
        <v>0</v>
      </c>
      <c r="I19" s="21" t="n">
        <f aca="false">IF(OR(保険一覧!$S18="",I$4&lt;保険一覧!$S18),IF(保険一覧!$J18="月払",保険一覧!$K18,IF(AND(保険一覧!$J18="年払",MONTH(I$4)=保険一覧!$R18),保険一覧!$K18,0)),0)</f>
        <v>0</v>
      </c>
      <c r="J19" s="21" t="n">
        <f aca="false">IF(OR(保険一覧!$S18="",J$4&lt;保険一覧!$S18),IF(保険一覧!$J18="月払",保険一覧!$K18,IF(AND(保険一覧!$J18="年払",MONTH(J$4)=保険一覧!$R18),保険一覧!$K18,0)),0)</f>
        <v>0</v>
      </c>
      <c r="K19" s="21" t="n">
        <f aca="false">IF(OR(保険一覧!$S18="",K$4&lt;保険一覧!$S18),IF(保険一覧!$J18="月払",保険一覧!$K18,IF(AND(保険一覧!$J18="年払",MONTH(K$4)=保険一覧!$R18),保険一覧!$K18,0)),0)</f>
        <v>0</v>
      </c>
      <c r="L19" s="21" t="n">
        <f aca="false">IF(OR(保険一覧!$S18="",L$4&lt;保険一覧!$S18),IF(保険一覧!$J18="月払",保険一覧!$K18,IF(AND(保険一覧!$J18="年払",MONTH(L$4)=保険一覧!$R18),保険一覧!$K18,0)),0)</f>
        <v>0</v>
      </c>
      <c r="M19" s="21" t="n">
        <f aca="false">IF(OR(保険一覧!$S18="",M$4&lt;保険一覧!$S18),IF(保険一覧!$J18="月払",保険一覧!$K18,IF(AND(保険一覧!$J18="年払",MONTH(M$4)=保険一覧!$R18),保険一覧!$K18,0)),0)</f>
        <v>0</v>
      </c>
      <c r="N19" s="21" t="n">
        <f aca="false">IF(OR(保険一覧!$S18="",N$4&lt;保険一覧!$S18),IF(保険一覧!$J18="月払",保険一覧!$K18,IF(AND(保険一覧!$J18="年払",MONTH(N$4)=保険一覧!$R18),保険一覧!$K18,0)),0)</f>
        <v>4973060</v>
      </c>
      <c r="O19" s="25" t="n">
        <f aca="false">SUM(C19:N19)</f>
        <v>4973060</v>
      </c>
      <c r="P19" s="25" t="n">
        <f aca="false">SUMIFS(C19:N19,$C$4:$N$4,"&gt;="&amp;DATE(2026,10,1),$C$4:$N$4,"&lt;="&amp;DATE(2027,9,1))</f>
        <v>4973060</v>
      </c>
    </row>
    <row r="20" customFormat="false" ht="15" hidden="false" customHeight="false" outlineLevel="0" collapsed="false">
      <c r="A20" s="68" t="str">
        <f aca="false">保険一覧!A19&amp;" "&amp;保険一覧!B19&amp;" "&amp;保険一覧!H19</f>
        <v>15 日本生命 岡田 淳</v>
      </c>
      <c r="B20" s="68"/>
      <c r="C20" s="21" t="n">
        <f aca="false">IF(OR(保険一覧!$S19="",C$4&lt;保険一覧!$S19),IF(保険一覧!$J19="月払",保険一覧!$K19,IF(AND(保険一覧!$J19="年払",MONTH(C$4)=保険一覧!$R19),保険一覧!$K19,0)),0)</f>
        <v>0</v>
      </c>
      <c r="D20" s="21" t="n">
        <f aca="false">IF(OR(保険一覧!$S19="",D$4&lt;保険一覧!$S19),IF(保険一覧!$J19="月払",保険一覧!$K19,IF(AND(保険一覧!$J19="年払",MONTH(D$4)=保険一覧!$R19),保険一覧!$K19,0)),0)</f>
        <v>0</v>
      </c>
      <c r="E20" s="21" t="n">
        <f aca="false">IF(OR(保険一覧!$S19="",E$4&lt;保険一覧!$S19),IF(保険一覧!$J19="月払",保険一覧!$K19,IF(AND(保険一覧!$J19="年払",MONTH(E$4)=保険一覧!$R19),保険一覧!$K19,0)),0)</f>
        <v>0</v>
      </c>
      <c r="F20" s="21" t="n">
        <f aca="false">IF(OR(保険一覧!$S19="",F$4&lt;保険一覧!$S19),IF(保険一覧!$J19="月払",保険一覧!$K19,IF(AND(保険一覧!$J19="年払",MONTH(F$4)=保険一覧!$R19),保険一覧!$K19,0)),0)</f>
        <v>0</v>
      </c>
      <c r="G20" s="21" t="n">
        <f aca="false">IF(OR(保険一覧!$S19="",G$4&lt;保険一覧!$S19),IF(保険一覧!$J19="月払",保険一覧!$K19,IF(AND(保険一覧!$J19="年払",MONTH(G$4)=保険一覧!$R19),保険一覧!$K19,0)),0)</f>
        <v>0</v>
      </c>
      <c r="H20" s="21" t="n">
        <f aca="false">IF(OR(保険一覧!$S19="",H$4&lt;保険一覧!$S19),IF(保険一覧!$J19="月払",保険一覧!$K19,IF(AND(保険一覧!$J19="年払",MONTH(H$4)=保険一覧!$R19),保険一覧!$K19,0)),0)</f>
        <v>0</v>
      </c>
      <c r="I20" s="21" t="n">
        <f aca="false">IF(OR(保険一覧!$S19="",I$4&lt;保険一覧!$S19),IF(保険一覧!$J19="月払",保険一覧!$K19,IF(AND(保険一覧!$J19="年払",MONTH(I$4)=保険一覧!$R19),保険一覧!$K19,0)),0)</f>
        <v>0</v>
      </c>
      <c r="J20" s="21" t="n">
        <f aca="false">IF(OR(保険一覧!$S19="",J$4&lt;保険一覧!$S19),IF(保険一覧!$J19="月払",保険一覧!$K19,IF(AND(保険一覧!$J19="年払",MONTH(J$4)=保険一覧!$R19),保険一覧!$K19,0)),0)</f>
        <v>0</v>
      </c>
      <c r="K20" s="21" t="n">
        <f aca="false">IF(OR(保険一覧!$S19="",K$4&lt;保険一覧!$S19),IF(保険一覧!$J19="月払",保険一覧!$K19,IF(AND(保険一覧!$J19="年払",MONTH(K$4)=保険一覧!$R19),保険一覧!$K19,0)),0)</f>
        <v>3014812</v>
      </c>
      <c r="L20" s="21" t="n">
        <f aca="false">IF(OR(保険一覧!$S19="",L$4&lt;保険一覧!$S19),IF(保険一覧!$J19="月払",保険一覧!$K19,IF(AND(保険一覧!$J19="年払",MONTH(L$4)=保険一覧!$R19),保険一覧!$K19,0)),0)</f>
        <v>0</v>
      </c>
      <c r="M20" s="21" t="n">
        <f aca="false">IF(OR(保険一覧!$S19="",M$4&lt;保険一覧!$S19),IF(保険一覧!$J19="月払",保険一覧!$K19,IF(AND(保険一覧!$J19="年払",MONTH(M$4)=保険一覧!$R19),保険一覧!$K19,0)),0)</f>
        <v>0</v>
      </c>
      <c r="N20" s="21" t="n">
        <f aca="false">IF(OR(保険一覧!$S19="",N$4&lt;保険一覧!$S19),IF(保険一覧!$J19="月払",保険一覧!$K19,IF(AND(保険一覧!$J19="年払",MONTH(N$4)=保険一覧!$R19),保険一覧!$K19,0)),0)</f>
        <v>0</v>
      </c>
      <c r="O20" s="25" t="n">
        <f aca="false">SUM(C20:N20)</f>
        <v>3014812</v>
      </c>
      <c r="P20" s="25" t="n">
        <f aca="false">SUMIFS(C20:N20,$C$4:$N$4,"&gt;="&amp;DATE(2026,10,1),$C$4:$N$4,"&lt;="&amp;DATE(2027,9,1))</f>
        <v>3014812</v>
      </c>
    </row>
    <row r="21" customFormat="false" ht="15" hidden="false" customHeight="false" outlineLevel="0" collapsed="false">
      <c r="A21" s="68" t="str">
        <f aca="false">保険一覧!A20&amp;" "&amp;保険一覧!B20&amp;" "&amp;保険一覧!H20</f>
        <v>16 日本生命 岡田 淳</v>
      </c>
      <c r="B21" s="68"/>
      <c r="C21" s="21" t="n">
        <f aca="false">IF(OR(保険一覧!$S20="",C$4&lt;保険一覧!$S20),IF(保険一覧!$J20="月払",保険一覧!$K20,IF(AND(保険一覧!$J20="年払",MONTH(C$4)=保険一覧!$R20),保険一覧!$K20,0)),0)</f>
        <v>0</v>
      </c>
      <c r="D21" s="21" t="n">
        <f aca="false">IF(OR(保険一覧!$S20="",D$4&lt;保険一覧!$S20),IF(保険一覧!$J20="月払",保険一覧!$K20,IF(AND(保険一覧!$J20="年払",MONTH(D$4)=保険一覧!$R20),保険一覧!$K20,0)),0)</f>
        <v>0</v>
      </c>
      <c r="E21" s="21" t="n">
        <f aca="false">IF(OR(保険一覧!$S20="",E$4&lt;保険一覧!$S20),IF(保険一覧!$J20="月払",保険一覧!$K20,IF(AND(保険一覧!$J20="年払",MONTH(E$4)=保険一覧!$R20),保険一覧!$K20,0)),0)</f>
        <v>0</v>
      </c>
      <c r="F21" s="21" t="n">
        <f aca="false">IF(OR(保険一覧!$S20="",F$4&lt;保険一覧!$S20),IF(保険一覧!$J20="月払",保険一覧!$K20,IF(AND(保険一覧!$J20="年払",MONTH(F$4)=保険一覧!$R20),保険一覧!$K20,0)),0)</f>
        <v>0</v>
      </c>
      <c r="G21" s="21" t="n">
        <f aca="false">IF(OR(保険一覧!$S20="",G$4&lt;保険一覧!$S20),IF(保険一覧!$J20="月払",保険一覧!$K20,IF(AND(保険一覧!$J20="年払",MONTH(G$4)=保険一覧!$R20),保険一覧!$K20,0)),0)</f>
        <v>0</v>
      </c>
      <c r="H21" s="21" t="n">
        <f aca="false">IF(OR(保険一覧!$S20="",H$4&lt;保険一覧!$S20),IF(保険一覧!$J20="月払",保険一覧!$K20,IF(AND(保険一覧!$J20="年払",MONTH(H$4)=保険一覧!$R20),保険一覧!$K20,0)),0)</f>
        <v>0</v>
      </c>
      <c r="I21" s="21" t="n">
        <f aca="false">IF(OR(保険一覧!$S20="",I$4&lt;保険一覧!$S20),IF(保険一覧!$J20="月払",保険一覧!$K20,IF(AND(保険一覧!$J20="年払",MONTH(I$4)=保険一覧!$R20),保険一覧!$K20,0)),0)</f>
        <v>0</v>
      </c>
      <c r="J21" s="21" t="n">
        <f aca="false">IF(OR(保険一覧!$S20="",J$4&lt;保険一覧!$S20),IF(保険一覧!$J20="月払",保険一覧!$K20,IF(AND(保険一覧!$J20="年払",MONTH(J$4)=保険一覧!$R20),保険一覧!$K20,0)),0)</f>
        <v>0</v>
      </c>
      <c r="K21" s="21" t="n">
        <f aca="false">IF(OR(保険一覧!$S20="",K$4&lt;保険一覧!$S20),IF(保険一覧!$J20="月払",保険一覧!$K20,IF(AND(保険一覧!$J20="年払",MONTH(K$4)=保険一覧!$R20),保険一覧!$K20,0)),0)</f>
        <v>0</v>
      </c>
      <c r="L21" s="21" t="n">
        <f aca="false">IF(OR(保険一覧!$S20="",L$4&lt;保険一覧!$S20),IF(保険一覧!$J20="月払",保険一覧!$K20,IF(AND(保険一覧!$J20="年払",MONTH(L$4)=保険一覧!$R20),保険一覧!$K20,0)),0)</f>
        <v>0</v>
      </c>
      <c r="M21" s="21" t="n">
        <f aca="false">IF(OR(保険一覧!$S20="",M$4&lt;保険一覧!$S20),IF(保険一覧!$J20="月払",保険一覧!$K20,IF(AND(保険一覧!$J20="年払",MONTH(M$4)=保険一覧!$R20),保険一覧!$K20,0)),0)</f>
        <v>0</v>
      </c>
      <c r="N21" s="21" t="n">
        <f aca="false">IF(OR(保険一覧!$S20="",N$4&lt;保険一覧!$S20),IF(保険一覧!$J20="月払",保険一覧!$K20,IF(AND(保険一覧!$J20="年払",MONTH(N$4)=保険一覧!$R20),保険一覧!$K20,0)),0)</f>
        <v>3014812</v>
      </c>
      <c r="O21" s="25" t="n">
        <f aca="false">SUM(C21:N21)</f>
        <v>3014812</v>
      </c>
      <c r="P21" s="25" t="n">
        <f aca="false">SUMIFS(C21:N21,$C$4:$N$4,"&gt;="&amp;DATE(2026,10,1),$C$4:$N$4,"&lt;="&amp;DATE(2027,9,1))</f>
        <v>3014812</v>
      </c>
    </row>
    <row r="22" customFormat="false" ht="15" hidden="false" customHeight="false" outlineLevel="0" collapsed="false">
      <c r="A22" s="68" t="str">
        <f aca="false">保険一覧!A21&amp;" "&amp;保険一覧!B21&amp;" "&amp;保険一覧!H21</f>
        <v>17 明治安田 坂本 武</v>
      </c>
      <c r="B22" s="68"/>
      <c r="C22" s="21" t="n">
        <f aca="false">IF(OR(保険一覧!$S21="",C$4&lt;保険一覧!$S21),IF(保険一覧!$J21="月払",保険一覧!$K21,IF(AND(保険一覧!$J21="年払",MONTH(C$4)=保険一覧!$R21),保険一覧!$K21,0)),0)</f>
        <v>0</v>
      </c>
      <c r="D22" s="21" t="n">
        <f aca="false">IF(OR(保険一覧!$S21="",D$4&lt;保険一覧!$S21),IF(保険一覧!$J21="月払",保険一覧!$K21,IF(AND(保険一覧!$J21="年払",MONTH(D$4)=保険一覧!$R21),保険一覧!$K21,0)),0)</f>
        <v>0</v>
      </c>
      <c r="E22" s="21" t="n">
        <f aca="false">IF(OR(保険一覧!$S21="",E$4&lt;保険一覧!$S21),IF(保険一覧!$J21="月払",保険一覧!$K21,IF(AND(保険一覧!$J21="年払",MONTH(E$4)=保険一覧!$R21),保険一覧!$K21,0)),0)</f>
        <v>0</v>
      </c>
      <c r="F22" s="21" t="n">
        <f aca="false">IF(OR(保険一覧!$S21="",F$4&lt;保険一覧!$S21),IF(保険一覧!$J21="月払",保険一覧!$K21,IF(AND(保険一覧!$J21="年払",MONTH(F$4)=保険一覧!$R21),保険一覧!$K21,0)),0)</f>
        <v>0</v>
      </c>
      <c r="G22" s="21" t="n">
        <f aca="false">IF(OR(保険一覧!$S21="",G$4&lt;保険一覧!$S21),IF(保険一覧!$J21="月払",保険一覧!$K21,IF(AND(保険一覧!$J21="年払",MONTH(G$4)=保険一覧!$R21),保険一覧!$K21,0)),0)</f>
        <v>0</v>
      </c>
      <c r="H22" s="21" t="n">
        <f aca="false">IF(OR(保険一覧!$S21="",H$4&lt;保険一覧!$S21),IF(保険一覧!$J21="月払",保険一覧!$K21,IF(AND(保険一覧!$J21="年払",MONTH(H$4)=保険一覧!$R21),保険一覧!$K21,0)),0)</f>
        <v>0</v>
      </c>
      <c r="I22" s="21" t="n">
        <f aca="false">IF(OR(保険一覧!$S21="",I$4&lt;保険一覧!$S21),IF(保険一覧!$J21="月払",保険一覧!$K21,IF(AND(保険一覧!$J21="年払",MONTH(I$4)=保険一覧!$R21),保険一覧!$K21,0)),0)</f>
        <v>0</v>
      </c>
      <c r="J22" s="21" t="n">
        <f aca="false">IF(OR(保険一覧!$S21="",J$4&lt;保険一覧!$S21),IF(保険一覧!$J21="月払",保険一覧!$K21,IF(AND(保険一覧!$J21="年払",MONTH(J$4)=保険一覧!$R21),保険一覧!$K21,0)),0)</f>
        <v>0</v>
      </c>
      <c r="K22" s="21" t="n">
        <f aca="false">IF(OR(保険一覧!$S21="",K$4&lt;保険一覧!$S21),IF(保険一覧!$J21="月払",保険一覧!$K21,IF(AND(保険一覧!$J21="年払",MONTH(K$4)=保険一覧!$R21),保険一覧!$K21,0)),0)</f>
        <v>0</v>
      </c>
      <c r="L22" s="21" t="n">
        <f aca="false">IF(OR(保険一覧!$S21="",L$4&lt;保険一覧!$S21),IF(保険一覧!$J21="月払",保険一覧!$K21,IF(AND(保険一覧!$J21="年払",MONTH(L$4)=保険一覧!$R21),保険一覧!$K21,0)),0)</f>
        <v>0</v>
      </c>
      <c r="M22" s="21" t="n">
        <f aca="false">IF(OR(保険一覧!$S21="",M$4&lt;保険一覧!$S21),IF(保険一覧!$J21="月払",保険一覧!$K21,IF(AND(保険一覧!$J21="年払",MONTH(M$4)=保険一覧!$R21),保険一覧!$K21,0)),0)</f>
        <v>0</v>
      </c>
      <c r="N22" s="21" t="n">
        <f aca="false">IF(OR(保険一覧!$S21="",N$4&lt;保険一覧!$S21),IF(保険一覧!$J21="月払",保険一覧!$K21,IF(AND(保険一覧!$J21="年払",MONTH(N$4)=保険一覧!$R21),保険一覧!$K21,0)),0)</f>
        <v>769825</v>
      </c>
      <c r="O22" s="25" t="n">
        <f aca="false">SUM(C22:N22)</f>
        <v>769825</v>
      </c>
      <c r="P22" s="25" t="n">
        <f aca="false">SUMIFS(C22:N22,$C$4:$N$4,"&gt;="&amp;DATE(2026,10,1),$C$4:$N$4,"&lt;="&amp;DATE(2027,9,1))</f>
        <v>769825</v>
      </c>
    </row>
    <row r="23" customFormat="false" ht="15" hidden="false" customHeight="false" outlineLevel="0" collapsed="false">
      <c r="A23" s="68" t="str">
        <f aca="false">保険一覧!A22&amp;" "&amp;保険一覧!B22&amp;" "&amp;保険一覧!H22</f>
        <v>18 明治安田 横山 清美</v>
      </c>
      <c r="B23" s="68"/>
      <c r="C23" s="21" t="n">
        <f aca="false">IF(OR(保険一覧!$S22="",C$4&lt;保険一覧!$S22),IF(保険一覧!$J22="月払",保険一覧!$K22,IF(AND(保険一覧!$J22="年払",MONTH(C$4)=保険一覧!$R22),保険一覧!$K22,0)),0)</f>
        <v>0</v>
      </c>
      <c r="D23" s="21" t="n">
        <f aca="false">IF(OR(保険一覧!$S22="",D$4&lt;保険一覧!$S22),IF(保険一覧!$J22="月払",保険一覧!$K22,IF(AND(保険一覧!$J22="年払",MONTH(D$4)=保険一覧!$R22),保険一覧!$K22,0)),0)</f>
        <v>0</v>
      </c>
      <c r="E23" s="21" t="n">
        <f aca="false">IF(OR(保険一覧!$S22="",E$4&lt;保険一覧!$S22),IF(保険一覧!$J22="月払",保険一覧!$K22,IF(AND(保険一覧!$J22="年払",MONTH(E$4)=保険一覧!$R22),保険一覧!$K22,0)),0)</f>
        <v>0</v>
      </c>
      <c r="F23" s="21" t="n">
        <f aca="false">IF(OR(保険一覧!$S22="",F$4&lt;保険一覧!$S22),IF(保険一覧!$J22="月払",保険一覧!$K22,IF(AND(保険一覧!$J22="年払",MONTH(F$4)=保険一覧!$R22),保険一覧!$K22,0)),0)</f>
        <v>0</v>
      </c>
      <c r="G23" s="21" t="n">
        <f aca="false">IF(OR(保険一覧!$S22="",G$4&lt;保険一覧!$S22),IF(保険一覧!$J22="月払",保険一覧!$K22,IF(AND(保険一覧!$J22="年払",MONTH(G$4)=保険一覧!$R22),保険一覧!$K22,0)),0)</f>
        <v>0</v>
      </c>
      <c r="H23" s="21" t="n">
        <f aca="false">IF(OR(保険一覧!$S22="",H$4&lt;保険一覧!$S22),IF(保険一覧!$J22="月払",保険一覧!$K22,IF(AND(保険一覧!$J22="年払",MONTH(H$4)=保険一覧!$R22),保険一覧!$K22,0)),0)</f>
        <v>0</v>
      </c>
      <c r="I23" s="21" t="n">
        <f aca="false">IF(OR(保険一覧!$S22="",I$4&lt;保険一覧!$S22),IF(保険一覧!$J22="月払",保険一覧!$K22,IF(AND(保険一覧!$J22="年払",MONTH(I$4)=保険一覧!$R22),保険一覧!$K22,0)),0)</f>
        <v>0</v>
      </c>
      <c r="J23" s="21" t="n">
        <f aca="false">IF(OR(保険一覧!$S22="",J$4&lt;保険一覧!$S22),IF(保険一覧!$J22="月払",保険一覧!$K22,IF(AND(保険一覧!$J22="年払",MONTH(J$4)=保険一覧!$R22),保険一覧!$K22,0)),0)</f>
        <v>0</v>
      </c>
      <c r="K23" s="21" t="n">
        <f aca="false">IF(OR(保険一覧!$S22="",K$4&lt;保険一覧!$S22),IF(保険一覧!$J22="月払",保険一覧!$K22,IF(AND(保険一覧!$J22="年払",MONTH(K$4)=保険一覧!$R22),保険一覧!$K22,0)),0)</f>
        <v>0</v>
      </c>
      <c r="L23" s="21" t="n">
        <f aca="false">IF(OR(保険一覧!$S22="",L$4&lt;保険一覧!$S22),IF(保険一覧!$J22="月払",保険一覧!$K22,IF(AND(保険一覧!$J22="年払",MONTH(L$4)=保険一覧!$R22),保険一覧!$K22,0)),0)</f>
        <v>0</v>
      </c>
      <c r="M23" s="21" t="n">
        <f aca="false">IF(OR(保険一覧!$S22="",M$4&lt;保険一覧!$S22),IF(保険一覧!$J22="月払",保険一覧!$K22,IF(AND(保険一覧!$J22="年払",MONTH(M$4)=保険一覧!$R22),保険一覧!$K22,0)),0)</f>
        <v>0</v>
      </c>
      <c r="N23" s="21" t="n">
        <f aca="false">IF(OR(保険一覧!$S22="",N$4&lt;保険一覧!$S22),IF(保険一覧!$J22="月払",保険一覧!$K22,IF(AND(保険一覧!$J22="年払",MONTH(N$4)=保険一覧!$R22),保険一覧!$K22,0)),0)</f>
        <v>746963</v>
      </c>
      <c r="O23" s="25" t="n">
        <f aca="false">SUM(C23:N23)</f>
        <v>746963</v>
      </c>
      <c r="P23" s="25" t="n">
        <f aca="false">SUMIFS(C23:N23,$C$4:$N$4,"&gt;="&amp;DATE(2026,10,1),$C$4:$N$4,"&lt;="&amp;DATE(2027,9,1))</f>
        <v>746963</v>
      </c>
    </row>
    <row r="24" customFormat="false" ht="15" hidden="false" customHeight="false" outlineLevel="0" collapsed="false">
      <c r="A24" s="68" t="str">
        <f aca="false">保険一覧!A23&amp;" "&amp;保険一覧!B23&amp;" "&amp;保険一覧!H23</f>
        <v>19 大同生命 坂本 麻莉</v>
      </c>
      <c r="B24" s="68"/>
      <c r="C24" s="21" t="n">
        <f aca="false">IF(OR(保険一覧!$S23="",C$4&lt;保険一覧!$S23),IF(保険一覧!$J23="月払",保険一覧!$K23,IF(AND(保険一覧!$J23="年払",MONTH(C$4)=保険一覧!$R23),保険一覧!$K23,0)),0)</f>
        <v>0</v>
      </c>
      <c r="D24" s="21" t="n">
        <f aca="false">IF(OR(保険一覧!$S23="",D$4&lt;保険一覧!$S23),IF(保険一覧!$J23="月払",保険一覧!$K23,IF(AND(保険一覧!$J23="年払",MONTH(D$4)=保険一覧!$R23),保険一覧!$K23,0)),0)</f>
        <v>0</v>
      </c>
      <c r="E24" s="21" t="n">
        <f aca="false">IF(OR(保険一覧!$S23="",E$4&lt;保険一覧!$S23),IF(保険一覧!$J23="月払",保険一覧!$K23,IF(AND(保険一覧!$J23="年払",MONTH(E$4)=保険一覧!$R23),保険一覧!$K23,0)),0)</f>
        <v>0</v>
      </c>
      <c r="F24" s="21" t="n">
        <f aca="false">IF(OR(保険一覧!$S23="",F$4&lt;保険一覧!$S23),IF(保険一覧!$J23="月払",保険一覧!$K23,IF(AND(保険一覧!$J23="年払",MONTH(F$4)=保険一覧!$R23),保険一覧!$K23,0)),0)</f>
        <v>0</v>
      </c>
      <c r="G24" s="21" t="n">
        <f aca="false">IF(OR(保険一覧!$S23="",G$4&lt;保険一覧!$S23),IF(保険一覧!$J23="月払",保険一覧!$K23,IF(AND(保険一覧!$J23="年払",MONTH(G$4)=保険一覧!$R23),保険一覧!$K23,0)),0)</f>
        <v>0</v>
      </c>
      <c r="H24" s="21" t="n">
        <f aca="false">IF(OR(保険一覧!$S23="",H$4&lt;保険一覧!$S23),IF(保険一覧!$J23="月払",保険一覧!$K23,IF(AND(保険一覧!$J23="年払",MONTH(H$4)=保険一覧!$R23),保険一覧!$K23,0)),0)</f>
        <v>0</v>
      </c>
      <c r="I24" s="21" t="n">
        <f aca="false">IF(OR(保険一覧!$S23="",I$4&lt;保険一覧!$S23),IF(保険一覧!$J23="月払",保険一覧!$K23,IF(AND(保険一覧!$J23="年払",MONTH(I$4)=保険一覧!$R23),保険一覧!$K23,0)),0)</f>
        <v>0</v>
      </c>
      <c r="J24" s="21" t="n">
        <f aca="false">IF(OR(保険一覧!$S23="",J$4&lt;保険一覧!$S23),IF(保険一覧!$J23="月払",保険一覧!$K23,IF(AND(保険一覧!$J23="年払",MONTH(J$4)=保険一覧!$R23),保険一覧!$K23,0)),0)</f>
        <v>0</v>
      </c>
      <c r="K24" s="21" t="n">
        <f aca="false">IF(OR(保険一覧!$S23="",K$4&lt;保険一覧!$S23),IF(保険一覧!$J23="月払",保険一覧!$K23,IF(AND(保険一覧!$J23="年払",MONTH(K$4)=保険一覧!$R23),保険一覧!$K23,0)),0)</f>
        <v>0</v>
      </c>
      <c r="L24" s="21" t="n">
        <f aca="false">IF(OR(保険一覧!$S23="",L$4&lt;保険一覧!$S23),IF(保険一覧!$J23="月払",保険一覧!$K23,IF(AND(保険一覧!$J23="年払",MONTH(L$4)=保険一覧!$R23),保険一覧!$K23,0)),0)</f>
        <v>0</v>
      </c>
      <c r="M24" s="21" t="n">
        <f aca="false">IF(OR(保険一覧!$S23="",M$4&lt;保険一覧!$S23),IF(保険一覧!$J23="月払",保険一覧!$K23,IF(AND(保険一覧!$J23="年払",MONTH(M$4)=保険一覧!$R23),保険一覧!$K23,0)),0)</f>
        <v>0</v>
      </c>
      <c r="N24" s="21" t="n">
        <f aca="false">IF(OR(保険一覧!$S23="",N$4&lt;保険一覧!$S23),IF(保険一覧!$J23="月払",保険一覧!$K23,IF(AND(保険一覧!$J23="年払",MONTH(N$4)=保険一覧!$R23),保険一覧!$K23,0)),0)</f>
        <v>0</v>
      </c>
      <c r="O24" s="25" t="n">
        <f aca="false">SUM(C24:N24)</f>
        <v>0</v>
      </c>
      <c r="P24" s="25" t="n">
        <f aca="false">SUMIFS(C24:N24,$C$4:$N$4,"&gt;="&amp;DATE(2026,10,1),$C$4:$N$4,"&lt;="&amp;DATE(2027,9,1))</f>
        <v>0</v>
      </c>
    </row>
    <row r="25" customFormat="false" ht="15" hidden="false" customHeight="false" outlineLevel="0" collapsed="false">
      <c r="A25" s="68" t="str">
        <f aca="false">保険一覧!A24&amp;" "&amp;保険一覧!B24&amp;" "&amp;保険一覧!H24</f>
        <v>20 大同生命 坂本 麻莉</v>
      </c>
      <c r="B25" s="68"/>
      <c r="C25" s="21" t="n">
        <f aca="false">IF(OR(保険一覧!$S24="",C$4&lt;保険一覧!$S24),IF(保険一覧!$J24="月払",保険一覧!$K24,IF(AND(保険一覧!$J24="年払",MONTH(C$4)=保険一覧!$R24),保険一覧!$K24,0)),0)</f>
        <v>28900</v>
      </c>
      <c r="D25" s="21" t="n">
        <f aca="false">IF(OR(保険一覧!$S24="",D$4&lt;保険一覧!$S24),IF(保険一覧!$J24="月払",保険一覧!$K24,IF(AND(保険一覧!$J24="年払",MONTH(D$4)=保険一覧!$R24),保険一覧!$K24,0)),0)</f>
        <v>28900</v>
      </c>
      <c r="E25" s="21" t="n">
        <f aca="false">IF(OR(保険一覧!$S24="",E$4&lt;保険一覧!$S24),IF(保険一覧!$J24="月払",保険一覧!$K24,IF(AND(保険一覧!$J24="年払",MONTH(E$4)=保険一覧!$R24),保険一覧!$K24,0)),0)</f>
        <v>28900</v>
      </c>
      <c r="F25" s="21" t="n">
        <f aca="false">IF(OR(保険一覧!$S24="",F$4&lt;保険一覧!$S24),IF(保険一覧!$J24="月払",保険一覧!$K24,IF(AND(保険一覧!$J24="年払",MONTH(F$4)=保険一覧!$R24),保険一覧!$K24,0)),0)</f>
        <v>28900</v>
      </c>
      <c r="G25" s="21" t="n">
        <f aca="false">IF(OR(保険一覧!$S24="",G$4&lt;保険一覧!$S24),IF(保険一覧!$J24="月払",保険一覧!$K24,IF(AND(保険一覧!$J24="年払",MONTH(G$4)=保険一覧!$R24),保険一覧!$K24,0)),0)</f>
        <v>28900</v>
      </c>
      <c r="H25" s="21" t="n">
        <f aca="false">IF(OR(保険一覧!$S24="",H$4&lt;保険一覧!$S24),IF(保険一覧!$J24="月払",保険一覧!$K24,IF(AND(保険一覧!$J24="年払",MONTH(H$4)=保険一覧!$R24),保険一覧!$K24,0)),0)</f>
        <v>28900</v>
      </c>
      <c r="I25" s="21" t="n">
        <f aca="false">IF(OR(保険一覧!$S24="",I$4&lt;保険一覧!$S24),IF(保険一覧!$J24="月払",保険一覧!$K24,IF(AND(保険一覧!$J24="年払",MONTH(I$4)=保険一覧!$R24),保険一覧!$K24,0)),0)</f>
        <v>28900</v>
      </c>
      <c r="J25" s="21" t="n">
        <f aca="false">IF(OR(保険一覧!$S24="",J$4&lt;保険一覧!$S24),IF(保険一覧!$J24="月払",保険一覧!$K24,IF(AND(保険一覧!$J24="年払",MONTH(J$4)=保険一覧!$R24),保険一覧!$K24,0)),0)</f>
        <v>28900</v>
      </c>
      <c r="K25" s="21" t="n">
        <f aca="false">IF(OR(保険一覧!$S24="",K$4&lt;保険一覧!$S24),IF(保険一覧!$J24="月払",保険一覧!$K24,IF(AND(保険一覧!$J24="年払",MONTH(K$4)=保険一覧!$R24),保険一覧!$K24,0)),0)</f>
        <v>28900</v>
      </c>
      <c r="L25" s="21" t="n">
        <f aca="false">IF(OR(保険一覧!$S24="",L$4&lt;保険一覧!$S24),IF(保険一覧!$J24="月払",保険一覧!$K24,IF(AND(保険一覧!$J24="年払",MONTH(L$4)=保険一覧!$R24),保険一覧!$K24,0)),0)</f>
        <v>28900</v>
      </c>
      <c r="M25" s="21" t="n">
        <f aca="false">IF(OR(保険一覧!$S24="",M$4&lt;保険一覧!$S24),IF(保険一覧!$J24="月払",保険一覧!$K24,IF(AND(保険一覧!$J24="年払",MONTH(M$4)=保険一覧!$R24),保険一覧!$K24,0)),0)</f>
        <v>28900</v>
      </c>
      <c r="N25" s="21" t="n">
        <f aca="false">IF(OR(保険一覧!$S24="",N$4&lt;保険一覧!$S24),IF(保険一覧!$J24="月払",保険一覧!$K24,IF(AND(保険一覧!$J24="年払",MONTH(N$4)=保険一覧!$R24),保険一覧!$K24,0)),0)</f>
        <v>28900</v>
      </c>
      <c r="O25" s="25" t="n">
        <f aca="false">SUM(C25:N25)</f>
        <v>346800</v>
      </c>
      <c r="P25" s="25" t="n">
        <f aca="false">SUMIFS(C25:N25,$C$4:$N$4,"&gt;="&amp;DATE(2026,10,1),$C$4:$N$4,"&lt;="&amp;DATE(2027,9,1))</f>
        <v>346800</v>
      </c>
    </row>
    <row r="26" customFormat="false" ht="15" hidden="false" customHeight="false" outlineLevel="0" collapsed="false">
      <c r="A26" s="36" t="s">
        <v>314</v>
      </c>
      <c r="B26" s="69"/>
      <c r="C26" s="37" t="n">
        <f aca="false">SUM(C6:C25)</f>
        <v>892858</v>
      </c>
      <c r="D26" s="37" t="n">
        <f aca="false">SUM(D6:D25)</f>
        <v>892858</v>
      </c>
      <c r="E26" s="37" t="n">
        <f aca="false">SUM(E6:E25)</f>
        <v>892858</v>
      </c>
      <c r="F26" s="37" t="n">
        <f aca="false">SUM(F6:F25)</f>
        <v>892858</v>
      </c>
      <c r="G26" s="37" t="n">
        <f aca="false">SUM(G6:G25)</f>
        <v>892858</v>
      </c>
      <c r="H26" s="37" t="n">
        <f aca="false">SUM(H6:H25)</f>
        <v>892858</v>
      </c>
      <c r="I26" s="37" t="n">
        <f aca="false">SUM(I6:I25)</f>
        <v>892858</v>
      </c>
      <c r="J26" s="37" t="n">
        <f aca="false">SUM(J6:J25)</f>
        <v>892858</v>
      </c>
      <c r="K26" s="37" t="n">
        <f aca="false">SUM(K6:K25)</f>
        <v>12633297</v>
      </c>
      <c r="L26" s="37" t="n">
        <f aca="false">SUM(L6:L25)</f>
        <v>2600518</v>
      </c>
      <c r="M26" s="37" t="n">
        <f aca="false">SUM(M6:M25)</f>
        <v>892858</v>
      </c>
      <c r="N26" s="37" t="n">
        <f aca="false">SUM(N6:N25)</f>
        <v>10397518</v>
      </c>
      <c r="O26" s="37" t="n">
        <f aca="false">SUM(O6:O25)</f>
        <v>33667055</v>
      </c>
      <c r="P26" s="37" t="n">
        <f aca="false">SUM(P6:P25)</f>
        <v>33667055</v>
      </c>
    </row>
    <row r="28" customFormat="false" ht="15" hidden="false" customHeight="false" outlineLevel="0" collapsed="false">
      <c r="A28" s="2" t="s">
        <v>315</v>
      </c>
    </row>
  </sheetData>
  <mergeCells count="20"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2" style="0" width="12"/>
  </cols>
  <sheetData>
    <row r="1" customFormat="false" ht="17.15" hidden="false" customHeight="false" outlineLevel="0" collapsed="false">
      <c r="A1" s="17" t="s">
        <v>316</v>
      </c>
    </row>
    <row r="2" customFormat="false" ht="15" hidden="false" customHeight="false" outlineLevel="0" collapsed="false">
      <c r="A2" s="2" t="s">
        <v>317</v>
      </c>
    </row>
    <row r="4" customFormat="false" ht="48" hidden="false" customHeight="true" outlineLevel="0" collapsed="false">
      <c r="A4" s="39" t="s">
        <v>318</v>
      </c>
      <c r="B4" s="39" t="str">
        <f aca="false">保険一覧!A5&amp;" "&amp;保険一覧!B5&amp;CHAR(10)&amp;保険一覧!H5</f>
        <v>1 大同生命
岡田 優子</v>
      </c>
      <c r="C4" s="39" t="str">
        <f aca="false">保険一覧!A6&amp;" "&amp;保険一覧!B6&amp;CHAR(10)&amp;保険一覧!H6</f>
        <v>2 大同生命
岡田 淳</v>
      </c>
      <c r="D4" s="39" t="str">
        <f aca="false">保険一覧!A7&amp;" "&amp;保険一覧!B7&amp;CHAR(10)&amp;保険一覧!H7</f>
        <v>3 大同生命
Ｊ 岡田 優子</v>
      </c>
      <c r="E4" s="39" t="str">
        <f aca="false">保険一覧!A8&amp;" "&amp;保険一覧!B8&amp;CHAR(10)&amp;保険一覧!H8</f>
        <v>4 大同生命
Ｔ 岡田 優子</v>
      </c>
      <c r="F4" s="39" t="str">
        <f aca="false">保険一覧!A9&amp;" "&amp;保険一覧!B9&amp;CHAR(10)&amp;保険一覧!H9</f>
        <v>5 大同生命
坂本 武</v>
      </c>
      <c r="G4" s="39" t="str">
        <f aca="false">保険一覧!A10&amp;" "&amp;保険一覧!B10&amp;CHAR(10)&amp;保険一覧!H10</f>
        <v>6 大同生命
横山 清美</v>
      </c>
      <c r="H4" s="39" t="str">
        <f aca="false">保険一覧!A11&amp;" "&amp;保険一覧!B11&amp;CHAR(10)&amp;保険一覧!H11</f>
        <v>7 大同生命
坂本 武</v>
      </c>
      <c r="I4" s="39" t="str">
        <f aca="false">保険一覧!A12&amp;" "&amp;保険一覧!B12&amp;CHAR(10)&amp;保険一覧!H12</f>
        <v>8 大同生命
横山 清美</v>
      </c>
      <c r="J4" s="39" t="str">
        <f aca="false">保険一覧!A13&amp;" "&amp;保険一覧!B13&amp;CHAR(10)&amp;保険一覧!H13</f>
        <v>9 大同生命
坂本 麻莉</v>
      </c>
      <c r="K4" s="39" t="str">
        <f aca="false">保険一覧!A14&amp;" "&amp;保険一覧!B14&amp;CHAR(10)&amp;保険一覧!H14</f>
        <v>10 大同生命
坂本 麻莉</v>
      </c>
      <c r="L4" s="39" t="str">
        <f aca="false">保険一覧!A15&amp;" "&amp;保険一覧!B15&amp;CHAR(10)&amp;保険一覧!H15</f>
        <v>11 大同生命
坂本 武</v>
      </c>
      <c r="M4" s="39" t="str">
        <f aca="false">保険一覧!A16&amp;" "&amp;保険一覧!B16&amp;CHAR(10)&amp;保険一覧!H16</f>
        <v>12 大同生命
Ｔ 岡田 淳</v>
      </c>
      <c r="N4" s="39" t="str">
        <f aca="false">保険一覧!A17&amp;" "&amp;保険一覧!B17&amp;CHAR(10)&amp;保険一覧!H17</f>
        <v>13 日本生命
坂本 信</v>
      </c>
      <c r="O4" s="39" t="str">
        <f aca="false">保険一覧!A18&amp;" "&amp;保険一覧!B18&amp;CHAR(10)&amp;保険一覧!H18</f>
        <v>14 日本生命
坂本 信</v>
      </c>
      <c r="P4" s="39" t="str">
        <f aca="false">保険一覧!A19&amp;" "&amp;保険一覧!B19&amp;CHAR(10)&amp;保険一覧!H19</f>
        <v>15 日本生命
岡田 淳</v>
      </c>
      <c r="Q4" s="39" t="str">
        <f aca="false">保険一覧!A20&amp;" "&amp;保険一覧!B20&amp;CHAR(10)&amp;保険一覧!H20</f>
        <v>16 日本生命
岡田 淳</v>
      </c>
      <c r="R4" s="39" t="str">
        <f aca="false">保険一覧!A21&amp;" "&amp;保険一覧!B21&amp;CHAR(10)&amp;保険一覧!H21</f>
        <v>17 明治安田
坂本 武</v>
      </c>
      <c r="S4" s="39" t="str">
        <f aca="false">保険一覧!A22&amp;" "&amp;保険一覧!B22&amp;CHAR(10)&amp;保険一覧!H22</f>
        <v>18 明治安田
横山 清美</v>
      </c>
      <c r="T4" s="39" t="str">
        <f aca="false">保険一覧!A23&amp;" "&amp;保険一覧!B23&amp;CHAR(10)&amp;保険一覧!H23</f>
        <v>19 大同生命
坂本 麻莉</v>
      </c>
      <c r="U4" s="39" t="str">
        <f aca="false">保険一覧!A24&amp;" "&amp;保険一覧!B24&amp;CHAR(10)&amp;保険一覧!H24</f>
        <v>20 大同生命
坂本 麻莉</v>
      </c>
      <c r="V4" s="39" t="s">
        <v>172</v>
      </c>
    </row>
    <row r="5" customFormat="false" ht="15" hidden="false" customHeight="false" outlineLevel="0" collapsed="false">
      <c r="A5" s="70" t="s">
        <v>319</v>
      </c>
      <c r="B5" s="58" t="n">
        <v>159</v>
      </c>
      <c r="C5" s="58" t="n">
        <v>257</v>
      </c>
      <c r="D5" s="58" t="n">
        <v>292</v>
      </c>
      <c r="E5" s="58" t="n">
        <v>167</v>
      </c>
      <c r="F5" s="58"/>
      <c r="G5" s="58" t="n">
        <v>108</v>
      </c>
      <c r="H5" s="58" t="n">
        <v>1839</v>
      </c>
      <c r="I5" s="58" t="n">
        <v>149</v>
      </c>
      <c r="J5" s="58" t="n">
        <v>503</v>
      </c>
      <c r="K5" s="58" t="n">
        <v>116</v>
      </c>
      <c r="L5" s="58" t="n">
        <v>849</v>
      </c>
      <c r="M5" s="58" t="n">
        <v>220</v>
      </c>
      <c r="N5" s="58" t="n">
        <v>982</v>
      </c>
      <c r="O5" s="58" t="n">
        <v>1201</v>
      </c>
      <c r="P5" s="58" t="n">
        <v>451</v>
      </c>
      <c r="Q5" s="58" t="n">
        <v>188</v>
      </c>
      <c r="R5" s="58" t="n">
        <v>384</v>
      </c>
      <c r="S5" s="58" t="n">
        <v>340</v>
      </c>
      <c r="T5" s="58" t="n">
        <v>591</v>
      </c>
      <c r="U5" s="58" t="n">
        <v>267</v>
      </c>
      <c r="V5" s="61" t="n">
        <f aca="false">SUM(B5:U5)</f>
        <v>9063</v>
      </c>
    </row>
    <row r="6" customFormat="false" ht="15" hidden="false" customHeight="false" outlineLevel="0" collapsed="false">
      <c r="A6" s="70" t="s">
        <v>320</v>
      </c>
      <c r="B6" s="58" t="n">
        <v>165</v>
      </c>
      <c r="C6" s="58" t="n">
        <v>266</v>
      </c>
      <c r="D6" s="58" t="n">
        <v>433</v>
      </c>
      <c r="E6" s="58" t="n">
        <v>241</v>
      </c>
      <c r="F6" s="58"/>
      <c r="G6" s="58" t="n">
        <v>131</v>
      </c>
      <c r="H6" s="58" t="n">
        <v>2247</v>
      </c>
      <c r="I6" s="58" t="n">
        <v>196</v>
      </c>
      <c r="J6" s="58" t="n">
        <v>654</v>
      </c>
      <c r="K6" s="58" t="n">
        <v>456</v>
      </c>
      <c r="L6" s="58" t="n">
        <v>1138</v>
      </c>
      <c r="M6" s="58" t="n">
        <v>309</v>
      </c>
      <c r="N6" s="58" t="n">
        <v>1250</v>
      </c>
      <c r="O6" s="58" t="n">
        <v>1654</v>
      </c>
      <c r="P6" s="58" t="n">
        <v>714</v>
      </c>
      <c r="Q6" s="58" t="n">
        <v>451</v>
      </c>
      <c r="R6" s="58" t="n">
        <v>461</v>
      </c>
      <c r="S6" s="58" t="n">
        <v>411</v>
      </c>
      <c r="T6" s="58" t="n">
        <v>591</v>
      </c>
      <c r="U6" s="58" t="n">
        <v>289</v>
      </c>
      <c r="V6" s="61" t="n">
        <f aca="false">SUM(B6:U6)</f>
        <v>12057</v>
      </c>
    </row>
    <row r="7" customFormat="false" ht="15" hidden="false" customHeight="false" outlineLevel="0" collapsed="false">
      <c r="A7" s="70" t="s">
        <v>321</v>
      </c>
      <c r="B7" s="58" t="n">
        <v>165</v>
      </c>
      <c r="C7" s="58" t="n">
        <v>267</v>
      </c>
      <c r="D7" s="58" t="n">
        <v>434</v>
      </c>
      <c r="E7" s="58" t="n">
        <v>316</v>
      </c>
      <c r="F7" s="58"/>
      <c r="G7" s="58" t="n">
        <v>154</v>
      </c>
      <c r="H7" s="58" t="n">
        <v>2651</v>
      </c>
      <c r="I7" s="58" t="n">
        <v>242</v>
      </c>
      <c r="J7" s="58" t="n">
        <v>800</v>
      </c>
      <c r="K7" s="58" t="n">
        <v>196</v>
      </c>
      <c r="L7" s="58" t="n">
        <v>1422</v>
      </c>
      <c r="M7" s="58" t="n">
        <v>399</v>
      </c>
      <c r="N7" s="58" t="n">
        <v>1516</v>
      </c>
      <c r="O7" s="58" t="n">
        <v>2114</v>
      </c>
      <c r="P7" s="58" t="n">
        <v>975</v>
      </c>
      <c r="Q7" s="58" t="n">
        <v>714</v>
      </c>
      <c r="R7" s="58" t="n">
        <v>538</v>
      </c>
      <c r="S7" s="58" t="n">
        <v>482</v>
      </c>
      <c r="T7" s="58" t="n">
        <v>590</v>
      </c>
      <c r="U7" s="58" t="n">
        <v>310</v>
      </c>
      <c r="V7" s="61" t="n">
        <f aca="false">SUM(B7:U7)</f>
        <v>14285</v>
      </c>
    </row>
    <row r="8" customFormat="false" ht="15" hidden="false" customHeight="false" outlineLevel="0" collapsed="false">
      <c r="A8" s="70" t="s">
        <v>322</v>
      </c>
      <c r="B8" s="58" t="n">
        <v>166</v>
      </c>
      <c r="C8" s="58" t="n">
        <v>270</v>
      </c>
      <c r="D8" s="58" t="n">
        <v>434</v>
      </c>
      <c r="E8" s="58" t="n">
        <v>389</v>
      </c>
      <c r="F8" s="58"/>
      <c r="G8" s="58" t="n">
        <v>176</v>
      </c>
      <c r="H8" s="58" t="n">
        <v>3049</v>
      </c>
      <c r="I8" s="58" t="n">
        <v>287</v>
      </c>
      <c r="J8" s="58" t="n">
        <v>944</v>
      </c>
      <c r="K8" s="58" t="n">
        <v>236</v>
      </c>
      <c r="L8" s="58" t="n">
        <v>1701</v>
      </c>
      <c r="M8" s="58" t="n">
        <v>488</v>
      </c>
      <c r="N8" s="58" t="n">
        <v>1780</v>
      </c>
      <c r="O8" s="58" t="n">
        <v>2578</v>
      </c>
      <c r="P8" s="58" t="n">
        <v>1238</v>
      </c>
      <c r="Q8" s="58" t="n">
        <v>975</v>
      </c>
      <c r="R8" s="58" t="n">
        <v>615</v>
      </c>
      <c r="S8" s="58" t="n">
        <v>554</v>
      </c>
      <c r="T8" s="58" t="n">
        <v>589</v>
      </c>
      <c r="U8" s="58" t="n">
        <v>331</v>
      </c>
      <c r="V8" s="61" t="n">
        <f aca="false">SUM(B8:U8)</f>
        <v>16800</v>
      </c>
    </row>
    <row r="9" customFormat="false" ht="15" hidden="false" customHeight="false" outlineLevel="0" collapsed="false">
      <c r="A9" s="70" t="s">
        <v>323</v>
      </c>
      <c r="B9" s="58" t="n">
        <v>166</v>
      </c>
      <c r="C9" s="58" t="n">
        <v>271</v>
      </c>
      <c r="D9" s="58" t="n">
        <v>435</v>
      </c>
      <c r="E9" s="58" t="n">
        <v>462</v>
      </c>
      <c r="F9" s="58"/>
      <c r="G9" s="58" t="n">
        <v>198</v>
      </c>
      <c r="H9" s="58" t="n">
        <v>3442</v>
      </c>
      <c r="I9" s="58" t="n">
        <v>333</v>
      </c>
      <c r="J9" s="58" t="n">
        <v>1083</v>
      </c>
      <c r="K9" s="58" t="n">
        <v>276</v>
      </c>
      <c r="L9" s="58" t="n">
        <v>1974</v>
      </c>
      <c r="M9" s="58" t="n">
        <v>577</v>
      </c>
      <c r="N9" s="58" t="n">
        <v>2046</v>
      </c>
      <c r="O9" s="58" t="n">
        <v>3044</v>
      </c>
      <c r="P9" s="58" t="n">
        <v>1500</v>
      </c>
      <c r="Q9" s="58" t="n">
        <v>1238</v>
      </c>
      <c r="R9" s="58" t="n">
        <v>692</v>
      </c>
      <c r="S9" s="58" t="n">
        <v>626</v>
      </c>
      <c r="T9" s="58" t="n">
        <v>586</v>
      </c>
      <c r="U9" s="58" t="n">
        <v>351</v>
      </c>
      <c r="V9" s="61" t="n">
        <f aca="false">SUM(B9:U9)</f>
        <v>19300</v>
      </c>
    </row>
    <row r="10" customFormat="false" ht="15" hidden="false" customHeight="false" outlineLevel="0" collapsed="false">
      <c r="A10" s="70" t="s">
        <v>324</v>
      </c>
      <c r="B10" s="58" t="n">
        <v>167</v>
      </c>
      <c r="C10" s="58" t="n">
        <v>272</v>
      </c>
      <c r="D10" s="58" t="n">
        <v>435</v>
      </c>
      <c r="E10" s="58" t="n">
        <v>535</v>
      </c>
      <c r="F10" s="58"/>
      <c r="G10" s="58" t="n">
        <v>217</v>
      </c>
      <c r="H10" s="58" t="n">
        <v>3828</v>
      </c>
      <c r="I10" s="58" t="n">
        <v>377</v>
      </c>
      <c r="J10" s="58" t="n">
        <v>1220</v>
      </c>
      <c r="K10" s="58" t="n">
        <v>316</v>
      </c>
      <c r="L10" s="58" t="n">
        <v>2238</v>
      </c>
      <c r="M10" s="58" t="n">
        <v>667</v>
      </c>
      <c r="N10" s="58" t="n">
        <v>2311</v>
      </c>
      <c r="O10" s="58" t="n">
        <v>3518</v>
      </c>
      <c r="P10" s="58" t="n">
        <v>1760</v>
      </c>
      <c r="Q10" s="58" t="n">
        <v>1500</v>
      </c>
      <c r="R10" s="58" t="n">
        <v>769</v>
      </c>
      <c r="S10" s="58" t="n">
        <v>700</v>
      </c>
      <c r="T10" s="58" t="n">
        <v>584</v>
      </c>
      <c r="U10" s="58" t="n">
        <v>371</v>
      </c>
      <c r="V10" s="61" t="n">
        <f aca="false">SUM(B10:U10)</f>
        <v>21785</v>
      </c>
    </row>
    <row r="11" customFormat="false" ht="15" hidden="false" customHeight="false" outlineLevel="0" collapsed="false">
      <c r="A11" s="70" t="s">
        <v>325</v>
      </c>
      <c r="B11" s="58" t="n">
        <v>167</v>
      </c>
      <c r="C11" s="58" t="n">
        <v>273</v>
      </c>
      <c r="D11" s="58" t="n">
        <v>435</v>
      </c>
      <c r="E11" s="58" t="n">
        <v>608</v>
      </c>
      <c r="F11" s="58"/>
      <c r="G11" s="58" t="n">
        <v>235</v>
      </c>
      <c r="H11" s="58" t="n">
        <v>4193</v>
      </c>
      <c r="I11" s="58" t="n">
        <v>421</v>
      </c>
      <c r="J11" s="58" t="n">
        <v>1354</v>
      </c>
      <c r="K11" s="58" t="n">
        <v>356</v>
      </c>
      <c r="L11" s="58" t="n">
        <v>2494</v>
      </c>
      <c r="M11" s="58" t="n">
        <v>756</v>
      </c>
      <c r="N11" s="58" t="n">
        <v>2576</v>
      </c>
      <c r="O11" s="58" t="n">
        <v>3995</v>
      </c>
      <c r="P11" s="58" t="n">
        <v>2022</v>
      </c>
      <c r="Q11" s="58" t="n">
        <v>1760</v>
      </c>
      <c r="R11" s="58"/>
      <c r="S11" s="58"/>
      <c r="T11" s="58" t="n">
        <v>580</v>
      </c>
      <c r="U11" s="58" t="n">
        <v>390</v>
      </c>
      <c r="V11" s="61" t="n">
        <f aca="false">SUM(B11:U11)</f>
        <v>22615</v>
      </c>
    </row>
    <row r="12" customFormat="false" ht="15" hidden="false" customHeight="false" outlineLevel="0" collapsed="false">
      <c r="A12" s="70" t="s">
        <v>326</v>
      </c>
      <c r="B12" s="58" t="n">
        <v>168</v>
      </c>
      <c r="C12" s="58" t="n">
        <v>274</v>
      </c>
      <c r="D12" s="58" t="n">
        <v>435</v>
      </c>
      <c r="E12" s="58" t="n">
        <v>680</v>
      </c>
      <c r="F12" s="58"/>
      <c r="G12" s="58" t="n">
        <v>250</v>
      </c>
      <c r="H12" s="58" t="n">
        <v>4533</v>
      </c>
      <c r="I12" s="58" t="n">
        <v>464</v>
      </c>
      <c r="J12" s="58" t="n">
        <v>1484</v>
      </c>
      <c r="K12" s="58" t="n">
        <v>395</v>
      </c>
      <c r="L12" s="58" t="n">
        <v>2740</v>
      </c>
      <c r="M12" s="58" t="n">
        <v>845</v>
      </c>
      <c r="N12" s="58" t="n">
        <v>2832</v>
      </c>
      <c r="O12" s="58" t="n">
        <v>4479</v>
      </c>
      <c r="P12" s="58" t="n">
        <v>2281</v>
      </c>
      <c r="Q12" s="58" t="n">
        <v>2022</v>
      </c>
      <c r="R12" s="58"/>
      <c r="S12" s="58"/>
      <c r="T12" s="58" t="n">
        <v>576</v>
      </c>
      <c r="U12" s="58" t="n">
        <v>409</v>
      </c>
      <c r="V12" s="61" t="n">
        <f aca="false">SUM(B12:U12)</f>
        <v>24867</v>
      </c>
    </row>
    <row r="13" customFormat="false" ht="15" hidden="false" customHeight="false" outlineLevel="0" collapsed="false">
      <c r="A13" s="70" t="s">
        <v>327</v>
      </c>
      <c r="B13" s="58" t="n">
        <v>168</v>
      </c>
      <c r="C13" s="58" t="n">
        <v>275</v>
      </c>
      <c r="D13" s="58" t="n">
        <v>435</v>
      </c>
      <c r="E13" s="58" t="n">
        <v>747</v>
      </c>
      <c r="F13" s="58"/>
      <c r="G13" s="58" t="n">
        <v>262</v>
      </c>
      <c r="H13" s="58" t="n">
        <v>4861</v>
      </c>
      <c r="I13" s="58" t="n">
        <v>505</v>
      </c>
      <c r="J13" s="58" t="n">
        <v>1607</v>
      </c>
      <c r="K13" s="58" t="n">
        <v>433</v>
      </c>
      <c r="L13" s="58" t="n">
        <v>2947</v>
      </c>
      <c r="M13" s="58" t="n">
        <v>930</v>
      </c>
      <c r="N13" s="58" t="n">
        <v>3088</v>
      </c>
      <c r="O13" s="58" t="n">
        <v>4956</v>
      </c>
      <c r="P13" s="58" t="n">
        <v>2540</v>
      </c>
      <c r="Q13" s="58" t="n">
        <v>2281</v>
      </c>
      <c r="R13" s="58"/>
      <c r="S13" s="58"/>
      <c r="T13" s="58" t="n">
        <v>570</v>
      </c>
      <c r="U13" s="58" t="n">
        <v>427</v>
      </c>
      <c r="V13" s="61" t="n">
        <f aca="false">SUM(B13:U13)</f>
        <v>27032</v>
      </c>
    </row>
    <row r="14" customFormat="false" ht="15" hidden="false" customHeight="false" outlineLevel="0" collapsed="false">
      <c r="A14" s="70" t="s">
        <v>328</v>
      </c>
      <c r="B14" s="58" t="n">
        <v>169</v>
      </c>
      <c r="C14" s="58" t="n">
        <v>276</v>
      </c>
      <c r="D14" s="58" t="n">
        <v>435</v>
      </c>
      <c r="E14" s="58" t="n">
        <v>814</v>
      </c>
      <c r="F14" s="58"/>
      <c r="G14" s="58" t="n">
        <v>272</v>
      </c>
      <c r="H14" s="58" t="n">
        <v>5175</v>
      </c>
      <c r="I14" s="58" t="n">
        <v>544</v>
      </c>
      <c r="J14" s="58" t="n">
        <v>1728</v>
      </c>
      <c r="K14" s="58" t="n">
        <v>471</v>
      </c>
      <c r="L14" s="58" t="n">
        <v>3138</v>
      </c>
      <c r="M14" s="58" t="n">
        <v>1015</v>
      </c>
      <c r="N14" s="58" t="n">
        <v>3341</v>
      </c>
      <c r="O14" s="58" t="n">
        <v>5440</v>
      </c>
      <c r="P14" s="58" t="n">
        <v>2791</v>
      </c>
      <c r="Q14" s="58" t="n">
        <v>2540</v>
      </c>
      <c r="R14" s="58"/>
      <c r="S14" s="58"/>
      <c r="T14" s="58" t="n">
        <v>564</v>
      </c>
      <c r="U14" s="58" t="n">
        <v>443</v>
      </c>
      <c r="V14" s="61" t="n">
        <f aca="false">SUM(B14:U14)</f>
        <v>29156</v>
      </c>
    </row>
    <row r="15" customFormat="false" ht="15" hidden="false" customHeight="false" outlineLevel="0" collapsed="false">
      <c r="A15" s="70" t="s">
        <v>329</v>
      </c>
      <c r="B15" s="58" t="n">
        <v>169</v>
      </c>
      <c r="C15" s="58" t="n">
        <v>277</v>
      </c>
      <c r="D15" s="58" t="n">
        <v>434</v>
      </c>
      <c r="E15" s="58" t="n">
        <v>880</v>
      </c>
      <c r="F15" s="58"/>
      <c r="G15" s="58" t="n">
        <v>280</v>
      </c>
      <c r="H15" s="58" t="n">
        <v>5473</v>
      </c>
      <c r="I15" s="58" t="n">
        <v>582</v>
      </c>
      <c r="J15" s="58" t="n">
        <v>1845</v>
      </c>
      <c r="K15" s="58" t="n">
        <v>508</v>
      </c>
      <c r="L15" s="58" t="n">
        <v>3310</v>
      </c>
      <c r="M15" s="58" t="n">
        <v>1098</v>
      </c>
      <c r="N15" s="58" t="n">
        <v>3595</v>
      </c>
      <c r="O15" s="58" t="n">
        <v>5926</v>
      </c>
      <c r="P15" s="58" t="n">
        <v>3041</v>
      </c>
      <c r="Q15" s="58" t="n">
        <v>2791</v>
      </c>
      <c r="R15" s="58"/>
      <c r="S15" s="58"/>
      <c r="T15" s="58" t="n">
        <v>557</v>
      </c>
      <c r="U15" s="58" t="n">
        <v>458</v>
      </c>
      <c r="V15" s="61" t="n">
        <f aca="false">SUM(B15:U15)</f>
        <v>31224</v>
      </c>
    </row>
    <row r="17" customFormat="false" ht="15" hidden="false" customHeight="false" outlineLevel="0" collapsed="false">
      <c r="A17" s="5" t="s">
        <v>330</v>
      </c>
      <c r="B17" s="59" t="n">
        <v>0.432</v>
      </c>
      <c r="C17" s="59" t="n">
        <v>0.458</v>
      </c>
      <c r="D17" s="59" t="n">
        <v>0.528</v>
      </c>
      <c r="E17" s="59" t="n">
        <v>0.449</v>
      </c>
      <c r="F17" s="59"/>
      <c r="G17" s="59" t="n">
        <v>0.4</v>
      </c>
      <c r="H17" s="59" t="n">
        <v>0.688</v>
      </c>
      <c r="I17" s="59" t="n">
        <v>0.688</v>
      </c>
      <c r="J17" s="59" t="n">
        <v>0.675</v>
      </c>
      <c r="K17" s="59" t="n">
        <v>0.646</v>
      </c>
      <c r="L17" s="59" t="n">
        <v>0.5</v>
      </c>
      <c r="M17" s="59" t="n">
        <v>0.464</v>
      </c>
      <c r="N17" s="59" t="n">
        <v>0.826</v>
      </c>
      <c r="O17" s="59" t="n">
        <v>0.831</v>
      </c>
      <c r="P17" s="59" t="n">
        <v>0.789</v>
      </c>
      <c r="Q17" s="59" t="n">
        <v>0.748</v>
      </c>
      <c r="R17" s="59" t="n">
        <v>0.881</v>
      </c>
      <c r="S17" s="59" t="n">
        <v>0.917</v>
      </c>
      <c r="T17" s="59" t="n">
        <v>0.687</v>
      </c>
      <c r="U17" s="59" t="n">
        <v>0.667</v>
      </c>
    </row>
    <row r="18" customFormat="false" ht="26.85" hidden="false" customHeight="false" outlineLevel="0" collapsed="false">
      <c r="A18" s="5" t="s">
        <v>216</v>
      </c>
      <c r="B18" s="71" t="s">
        <v>227</v>
      </c>
      <c r="C18" s="71" t="s">
        <v>227</v>
      </c>
      <c r="D18" s="72" t="s">
        <v>234</v>
      </c>
      <c r="E18" s="72" t="s">
        <v>238</v>
      </c>
      <c r="F18" s="71" t="s">
        <v>245</v>
      </c>
      <c r="G18" s="71" t="s">
        <v>245</v>
      </c>
      <c r="H18" s="72" t="s">
        <v>234</v>
      </c>
      <c r="I18" s="71" t="s">
        <v>245</v>
      </c>
      <c r="J18" s="72" t="s">
        <v>234</v>
      </c>
      <c r="K18" s="71" t="s">
        <v>245</v>
      </c>
      <c r="L18" s="72" t="s">
        <v>264</v>
      </c>
      <c r="M18" s="72" t="s">
        <v>238</v>
      </c>
      <c r="N18" s="71" t="s">
        <v>245</v>
      </c>
      <c r="O18" s="71" t="s">
        <v>245</v>
      </c>
      <c r="P18" s="71" t="s">
        <v>245</v>
      </c>
      <c r="Q18" s="71" t="s">
        <v>245</v>
      </c>
      <c r="R18" s="72" t="s">
        <v>282</v>
      </c>
      <c r="S18" s="72" t="s">
        <v>282</v>
      </c>
      <c r="T18" s="72"/>
      <c r="U18" s="72"/>
    </row>
    <row r="20" customFormat="false" ht="15" hidden="false" customHeight="false" outlineLevel="0" collapsed="false">
      <c r="A20" s="2" t="s">
        <v>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7" t="s">
        <v>332</v>
      </c>
    </row>
    <row r="2" customFormat="false" ht="15" hidden="false" customHeight="false" outlineLevel="0" collapsed="false">
      <c r="A2" s="2" t="s">
        <v>333</v>
      </c>
    </row>
    <row r="4" customFormat="false" ht="15" hidden="false" customHeight="false" outlineLevel="0" collapsed="false">
      <c r="A4" s="18" t="s">
        <v>334</v>
      </c>
      <c r="B4" s="4"/>
      <c r="C4" s="4"/>
    </row>
    <row r="5" customFormat="false" ht="15" hidden="false" customHeight="false" outlineLevel="0" collapsed="false">
      <c r="A5" s="8" t="s">
        <v>335</v>
      </c>
      <c r="B5" s="21" t="n">
        <f aca="false">前提!B27</f>
        <v>39625000</v>
      </c>
      <c r="C5" s="20"/>
    </row>
    <row r="6" customFormat="false" ht="15" hidden="false" customHeight="false" outlineLevel="0" collapsed="false">
      <c r="A6" s="8" t="s">
        <v>336</v>
      </c>
      <c r="B6" s="73" t="n">
        <f aca="false">前提!B17*前提!B21</f>
        <v>17500</v>
      </c>
      <c r="C6" s="20"/>
    </row>
    <row r="7" customFormat="false" ht="15" hidden="false" customHeight="false" outlineLevel="0" collapsed="false">
      <c r="A7" s="8" t="s">
        <v>337</v>
      </c>
      <c r="B7" s="21" t="n">
        <f aca="false">B6*前提!B25</f>
        <v>2765000</v>
      </c>
      <c r="C7" s="20"/>
    </row>
    <row r="8" customFormat="false" ht="15" hidden="false" customHeight="false" outlineLevel="0" collapsed="false">
      <c r="A8" s="8" t="s">
        <v>338</v>
      </c>
      <c r="B8" s="21" t="n">
        <f aca="false">B7*(1-前提!B23)</f>
        <v>2341540.25</v>
      </c>
      <c r="C8" s="20"/>
    </row>
    <row r="9" customFormat="false" ht="15" hidden="false" customHeight="false" outlineLevel="0" collapsed="false">
      <c r="A9" s="52" t="s">
        <v>339</v>
      </c>
      <c r="B9" s="21" t="n">
        <f aca="false">B8*前提!B24/12</f>
        <v>7024620.75</v>
      </c>
      <c r="C9" s="20"/>
    </row>
    <row r="10" customFormat="false" ht="15" hidden="false" customHeight="false" outlineLevel="0" collapsed="false">
      <c r="A10" s="8" t="s">
        <v>340</v>
      </c>
      <c r="B10" s="14" t="n">
        <f aca="false">B9/B5/(前提!B24/12)</f>
        <v>0.0590924984227129</v>
      </c>
      <c r="C10" s="23" t="s">
        <v>341</v>
      </c>
    </row>
    <row r="11" customFormat="false" ht="15" hidden="false" customHeight="false" outlineLevel="0" collapsed="false">
      <c r="A11" s="8" t="s">
        <v>18</v>
      </c>
      <c r="B11" s="74" t="n">
        <f aca="false">(B5-B9)/前提!B17</f>
        <v>130.401517</v>
      </c>
      <c r="C11" s="23" t="s">
        <v>342</v>
      </c>
    </row>
    <row r="12" customFormat="false" ht="15" hidden="false" customHeight="false" outlineLevel="0" collapsed="false">
      <c r="A12" s="8" t="s">
        <v>343</v>
      </c>
      <c r="B12" s="14" t="n">
        <f aca="false">1-B11/前提!B18</f>
        <v>0.174673943037975</v>
      </c>
      <c r="C12" s="20"/>
    </row>
    <row r="14" customFormat="false" ht="15" hidden="false" customHeight="false" outlineLevel="0" collapsed="false">
      <c r="A14" s="18" t="s">
        <v>344</v>
      </c>
      <c r="B14" s="4"/>
      <c r="C14" s="4"/>
    </row>
    <row r="15" customFormat="false" ht="14.15" hidden="false" customHeight="false" outlineLevel="0" collapsed="false">
      <c r="A15" s="34" t="s">
        <v>345</v>
      </c>
      <c r="B15" s="75" t="s">
        <v>346</v>
      </c>
      <c r="C15" s="34" t="s">
        <v>347</v>
      </c>
    </row>
    <row r="16" customFormat="false" ht="15" hidden="false" customHeight="false" outlineLevel="0" collapsed="false">
      <c r="A16" s="76" t="n">
        <v>120</v>
      </c>
      <c r="B16" s="25" t="n">
        <f aca="false">B$9+前提!$B$17*A16-B$5</f>
        <v>-2600379.25</v>
      </c>
      <c r="C16" s="48" t="n">
        <f aca="false">B16/B$5/(前提!$B$24/12)</f>
        <v>-0.0218749043112513</v>
      </c>
    </row>
    <row r="17" customFormat="false" ht="15" hidden="false" customHeight="false" outlineLevel="0" collapsed="false">
      <c r="A17" s="76" t="n">
        <v>130</v>
      </c>
      <c r="B17" s="25" t="n">
        <f aca="false">B$9+前提!$B$17*A17-B$5</f>
        <v>-100379.25</v>
      </c>
      <c r="C17" s="48" t="n">
        <f aca="false">B17/B$5/(前提!$B$24/12)</f>
        <v>-0.000844410094637224</v>
      </c>
    </row>
    <row r="18" customFormat="false" ht="15" hidden="false" customHeight="false" outlineLevel="0" collapsed="false">
      <c r="A18" s="76" t="n">
        <v>140</v>
      </c>
      <c r="B18" s="25" t="n">
        <f aca="false">B$9+前提!$B$17*A18-B$5</f>
        <v>2399620.75</v>
      </c>
      <c r="C18" s="48" t="n">
        <f aca="false">B18/B$5/(前提!$B$24/12)</f>
        <v>0.0201860841219769</v>
      </c>
    </row>
    <row r="19" customFormat="false" ht="15" hidden="false" customHeight="false" outlineLevel="0" collapsed="false">
      <c r="A19" s="76" t="n">
        <v>150</v>
      </c>
      <c r="B19" s="25" t="n">
        <f aca="false">B$9+前提!$B$17*A19-B$5</f>
        <v>4899620.75</v>
      </c>
      <c r="C19" s="48" t="n">
        <f aca="false">B19/B$5/(前提!$B$24/12)</f>
        <v>0.041216578338591</v>
      </c>
    </row>
    <row r="20" customFormat="false" ht="15" hidden="false" customHeight="false" outlineLevel="0" collapsed="false">
      <c r="A20" s="76" t="n">
        <v>160</v>
      </c>
      <c r="B20" s="25" t="n">
        <f aca="false">B$9+前提!$B$17*A20-B$5</f>
        <v>7399620.75</v>
      </c>
      <c r="C20" s="48" t="n">
        <f aca="false">B20/B$5/(前提!$B$24/12)</f>
        <v>0.062247072555205</v>
      </c>
    </row>
    <row r="21" customFormat="false" ht="15" hidden="false" customHeight="false" outlineLevel="0" collapsed="false">
      <c r="A21" s="76" t="n">
        <v>170</v>
      </c>
      <c r="B21" s="25" t="n">
        <f aca="false">B$9+前提!$B$17*A21-B$5</f>
        <v>9899620.75</v>
      </c>
      <c r="C21" s="48" t="n">
        <f aca="false">B21/B$5/(前提!$B$24/12)</f>
        <v>0.0832775667718191</v>
      </c>
    </row>
    <row r="22" customFormat="false" ht="15" hidden="false" customHeight="false" outlineLevel="0" collapsed="false">
      <c r="A22" s="76" t="n">
        <v>180</v>
      </c>
      <c r="B22" s="25" t="n">
        <f aca="false">B$9+前提!$B$17*A22-B$5</f>
        <v>12399620.75</v>
      </c>
      <c r="C22" s="48" t="n">
        <f aca="false">B22/B$5/(前提!$B$24/12)</f>
        <v>0.104308060988433</v>
      </c>
    </row>
    <row r="23" customFormat="false" ht="15" hidden="false" customHeight="false" outlineLevel="0" collapsed="false">
      <c r="A23" s="2" t="s">
        <v>348</v>
      </c>
    </row>
    <row r="25" customFormat="false" ht="15" hidden="false" customHeight="false" outlineLevel="0" collapsed="false">
      <c r="A25" s="18" t="s">
        <v>349</v>
      </c>
      <c r="B25" s="4"/>
      <c r="C25" s="4"/>
    </row>
    <row r="26" customFormat="false" ht="15" hidden="false" customHeight="false" outlineLevel="0" collapsed="false">
      <c r="A26" s="8" t="s">
        <v>350</v>
      </c>
      <c r="B26" s="25" t="n">
        <f aca="false">B5</f>
        <v>39625000</v>
      </c>
    </row>
    <row r="27" customFormat="false" ht="15" hidden="false" customHeight="false" outlineLevel="0" collapsed="false">
      <c r="A27" s="8" t="s">
        <v>351</v>
      </c>
      <c r="B27" s="30" t="n">
        <v>0.07</v>
      </c>
      <c r="C27" s="23" t="s">
        <v>352</v>
      </c>
    </row>
    <row r="28" customFormat="false" ht="15" hidden="false" customHeight="false" outlineLevel="0" collapsed="false">
      <c r="A28" s="8" t="s">
        <v>353</v>
      </c>
      <c r="B28" s="30" t="n">
        <v>0.05</v>
      </c>
    </row>
    <row r="29" customFormat="false" ht="15" hidden="false" customHeight="false" outlineLevel="0" collapsed="false">
      <c r="A29" s="8" t="s">
        <v>354</v>
      </c>
      <c r="B29" s="30" t="n">
        <v>0.2</v>
      </c>
    </row>
    <row r="30" customFormat="false" ht="15" hidden="false" customHeight="false" outlineLevel="0" collapsed="false">
      <c r="A30" s="8" t="s">
        <v>355</v>
      </c>
      <c r="B30" s="77" t="n">
        <f aca="false">B27*(1-B28)*(1-B29)</f>
        <v>0.0532</v>
      </c>
    </row>
    <row r="31" customFormat="false" ht="15" hidden="false" customHeight="false" outlineLevel="0" collapsed="false">
      <c r="A31" s="8" t="s">
        <v>356</v>
      </c>
      <c r="B31" s="77" t="n">
        <f aca="false">B10</f>
        <v>0.0590924984227129</v>
      </c>
    </row>
    <row r="32" customFormat="false" ht="15" hidden="false" customHeight="false" outlineLevel="0" collapsed="false">
      <c r="A32" s="2" t="s">
        <v>357</v>
      </c>
    </row>
    <row r="33" customFormat="false" ht="15" hidden="false" customHeight="false" outlineLevel="0" collapsed="false">
      <c r="A33" s="2" t="s">
        <v>358</v>
      </c>
    </row>
    <row r="35" customFormat="false" ht="15" hidden="false" customHeight="false" outlineLevel="0" collapsed="false">
      <c r="A35" s="18" t="s">
        <v>359</v>
      </c>
      <c r="B35" s="4"/>
      <c r="C35" s="4"/>
    </row>
    <row r="36" customFormat="false" ht="15" hidden="false" customHeight="false" outlineLevel="0" collapsed="false">
      <c r="A36" s="52" t="s">
        <v>360</v>
      </c>
    </row>
    <row r="37" customFormat="false" ht="15" hidden="false" customHeight="false" outlineLevel="0" collapsed="false">
      <c r="A37" s="52" t="s">
        <v>361</v>
      </c>
    </row>
    <row r="38" customFormat="false" ht="15" hidden="false" customHeight="false" outlineLevel="0" collapsed="false">
      <c r="A38" s="52" t="s">
        <v>362</v>
      </c>
    </row>
    <row r="39" customFormat="false" ht="15" hidden="false" customHeight="false" outlineLevel="0" collapsed="false">
      <c r="A39" s="52" t="s">
        <v>363</v>
      </c>
    </row>
    <row r="40" customFormat="false" ht="15" hidden="false" customHeight="false" outlineLevel="0" collapsed="false">
      <c r="A40" s="52" t="s">
        <v>364</v>
      </c>
    </row>
    <row r="41" customFormat="false" ht="15" hidden="false" customHeight="false" outlineLevel="0" collapsed="false">
      <c r="A41" s="52" t="s">
        <v>365</v>
      </c>
    </row>
    <row r="42" customFormat="false" ht="15" hidden="false" customHeight="false" outlineLevel="0" collapsed="false">
      <c r="A42" s="52" t="s">
        <v>366</v>
      </c>
    </row>
    <row r="43" customFormat="false" ht="15" hidden="false" customHeight="false" outlineLevel="0" collapsed="false">
      <c r="A43" s="52" t="s">
        <v>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"/>
    <col collapsed="false" customWidth="true" hidden="false" outlineLevel="0" max="14" min="3" style="0" width="13"/>
    <col collapsed="false" customWidth="true" hidden="false" outlineLevel="0" max="15" min="15" style="0" width="2"/>
    <col collapsed="false" customWidth="true" hidden="false" outlineLevel="0" max="27" min="16" style="0" width="13"/>
  </cols>
  <sheetData>
    <row r="1" customFormat="false" ht="17.15" hidden="false" customHeight="false" outlineLevel="0" collapsed="false">
      <c r="A1" s="17" t="s">
        <v>368</v>
      </c>
    </row>
    <row r="2" customFormat="false" ht="15" hidden="false" customHeight="false" outlineLevel="0" collapsed="false">
      <c r="A2" s="2" t="s">
        <v>369</v>
      </c>
    </row>
    <row r="4" customFormat="false" ht="15" hidden="false" customHeight="false" outlineLevel="0" collapsed="false">
      <c r="A4" s="34" t="s">
        <v>129</v>
      </c>
      <c r="B4" s="6"/>
      <c r="C4" s="78" t="s">
        <v>370</v>
      </c>
      <c r="D4" s="78" t="s">
        <v>371</v>
      </c>
      <c r="E4" s="78" t="s">
        <v>372</v>
      </c>
      <c r="F4" s="78" t="s">
        <v>373</v>
      </c>
      <c r="G4" s="78" t="s">
        <v>374</v>
      </c>
      <c r="H4" s="78" t="s">
        <v>375</v>
      </c>
      <c r="I4" s="78" t="s">
        <v>376</v>
      </c>
      <c r="J4" s="78" t="s">
        <v>377</v>
      </c>
      <c r="K4" s="78" t="s">
        <v>378</v>
      </c>
      <c r="L4" s="78" t="s">
        <v>379</v>
      </c>
      <c r="M4" s="78" t="s">
        <v>380</v>
      </c>
      <c r="N4" s="78" t="s">
        <v>381</v>
      </c>
      <c r="O4" s="6"/>
      <c r="P4" s="78" t="s">
        <v>382</v>
      </c>
      <c r="Q4" s="78" t="s">
        <v>383</v>
      </c>
      <c r="R4" s="78" t="s">
        <v>384</v>
      </c>
      <c r="S4" s="78" t="s">
        <v>385</v>
      </c>
      <c r="T4" s="78" t="s">
        <v>386</v>
      </c>
      <c r="U4" s="78" t="s">
        <v>387</v>
      </c>
      <c r="V4" s="78" t="s">
        <v>388</v>
      </c>
      <c r="W4" s="78" t="s">
        <v>389</v>
      </c>
      <c r="X4" s="78" t="s">
        <v>390</v>
      </c>
      <c r="Y4" s="78" t="s">
        <v>391</v>
      </c>
      <c r="Z4" s="78" t="s">
        <v>392</v>
      </c>
      <c r="AA4" s="78" t="s">
        <v>393</v>
      </c>
    </row>
    <row r="6" customFormat="false" ht="15" hidden="false" customHeight="false" outlineLevel="0" collapsed="false">
      <c r="A6" s="8" t="s">
        <v>394</v>
      </c>
      <c r="C6" s="46" t="n">
        <v>4088247</v>
      </c>
      <c r="D6" s="46" t="n">
        <v>7650673</v>
      </c>
      <c r="E6" s="46" t="n">
        <v>12553109</v>
      </c>
      <c r="F6" s="46" t="n">
        <v>15938888</v>
      </c>
      <c r="G6" s="46" t="n">
        <v>18786815</v>
      </c>
      <c r="H6" s="46" t="n">
        <v>24888219</v>
      </c>
      <c r="I6" s="46" t="n">
        <v>29212699</v>
      </c>
      <c r="J6" s="46" t="n">
        <v>33092018</v>
      </c>
      <c r="K6" s="46" t="n">
        <v>38789464</v>
      </c>
      <c r="L6" s="46" t="n">
        <v>42856654</v>
      </c>
      <c r="M6" s="46" t="n">
        <v>45830786</v>
      </c>
      <c r="N6" s="46" t="n">
        <v>48518409</v>
      </c>
      <c r="P6" s="25" t="n">
        <f aca="false">C6</f>
        <v>4088247</v>
      </c>
      <c r="Q6" s="25" t="n">
        <f aca="false">D6-C6</f>
        <v>3562426</v>
      </c>
      <c r="R6" s="25" t="n">
        <f aca="false">E6-D6</f>
        <v>4902436</v>
      </c>
      <c r="S6" s="25" t="n">
        <f aca="false">F6-E6</f>
        <v>3385779</v>
      </c>
      <c r="T6" s="25" t="n">
        <f aca="false">G6-F6</f>
        <v>2847927</v>
      </c>
      <c r="U6" s="25" t="n">
        <f aca="false">H6-G6</f>
        <v>6101404</v>
      </c>
      <c r="V6" s="25" t="n">
        <f aca="false">I6-H6</f>
        <v>4324480</v>
      </c>
      <c r="W6" s="25" t="n">
        <f aca="false">J6-I6</f>
        <v>3879319</v>
      </c>
      <c r="X6" s="25" t="n">
        <f aca="false">K6-J6</f>
        <v>5697446</v>
      </c>
      <c r="Y6" s="25" t="n">
        <f aca="false">L6-K6</f>
        <v>4067190</v>
      </c>
      <c r="Z6" s="25" t="n">
        <f aca="false">M6-L6</f>
        <v>2974132</v>
      </c>
      <c r="AA6" s="25" t="n">
        <f aca="false">N6-M6</f>
        <v>2687623</v>
      </c>
    </row>
    <row r="7" customFormat="false" ht="15" hidden="false" customHeight="false" outlineLevel="0" collapsed="false">
      <c r="A7" s="8" t="s">
        <v>395</v>
      </c>
      <c r="C7" s="46" t="n">
        <v>0</v>
      </c>
      <c r="D7" s="46" t="n">
        <v>0</v>
      </c>
      <c r="E7" s="46" t="n">
        <v>0</v>
      </c>
      <c r="F7" s="46" t="n">
        <v>0</v>
      </c>
      <c r="G7" s="46" t="n">
        <v>0</v>
      </c>
      <c r="H7" s="46" t="n">
        <v>3120000</v>
      </c>
      <c r="I7" s="46" t="n">
        <v>3120000</v>
      </c>
      <c r="J7" s="46" t="n">
        <v>3142224</v>
      </c>
      <c r="K7" s="46" t="n">
        <v>3142224</v>
      </c>
      <c r="L7" s="46" t="n">
        <v>3142224</v>
      </c>
      <c r="M7" s="46" t="n">
        <v>3153336</v>
      </c>
      <c r="N7" s="46" t="n">
        <v>3153336</v>
      </c>
      <c r="P7" s="25" t="n">
        <f aca="false">C7</f>
        <v>0</v>
      </c>
      <c r="Q7" s="25" t="n">
        <f aca="false">D7-C7</f>
        <v>0</v>
      </c>
      <c r="R7" s="25" t="n">
        <f aca="false">E7-D7</f>
        <v>0</v>
      </c>
      <c r="S7" s="25" t="n">
        <f aca="false">F7-E7</f>
        <v>0</v>
      </c>
      <c r="T7" s="25" t="n">
        <f aca="false">G7-F7</f>
        <v>0</v>
      </c>
      <c r="U7" s="25" t="n">
        <f aca="false">H7-G7</f>
        <v>3120000</v>
      </c>
      <c r="V7" s="25" t="n">
        <f aca="false">I7-H7</f>
        <v>0</v>
      </c>
      <c r="W7" s="25" t="n">
        <f aca="false">J7-I7</f>
        <v>22224</v>
      </c>
      <c r="X7" s="25" t="n">
        <f aca="false">K7-J7</f>
        <v>0</v>
      </c>
      <c r="Y7" s="25" t="n">
        <f aca="false">L7-K7</f>
        <v>0</v>
      </c>
      <c r="Z7" s="25" t="n">
        <f aca="false">M7-L7</f>
        <v>11112</v>
      </c>
      <c r="AA7" s="25" t="n">
        <f aca="false">N7-M7</f>
        <v>0</v>
      </c>
    </row>
    <row r="8" customFormat="false" ht="15" hidden="false" customHeight="false" outlineLevel="0" collapsed="false">
      <c r="A8" s="8" t="s">
        <v>396</v>
      </c>
      <c r="C8" s="46" t="n">
        <v>0</v>
      </c>
      <c r="D8" s="46" t="n">
        <v>0</v>
      </c>
      <c r="E8" s="46" t="n">
        <v>0</v>
      </c>
      <c r="F8" s="46" t="n">
        <v>0</v>
      </c>
      <c r="G8" s="46" t="n">
        <v>0</v>
      </c>
      <c r="H8" s="46" t="n">
        <v>23224126</v>
      </c>
      <c r="I8" s="46" t="n">
        <v>23224126</v>
      </c>
      <c r="J8" s="46" t="n">
        <v>23224126</v>
      </c>
      <c r="K8" s="46" t="n">
        <v>23224126</v>
      </c>
      <c r="L8" s="46" t="n">
        <v>73274882</v>
      </c>
      <c r="M8" s="46" t="n">
        <v>110288898</v>
      </c>
      <c r="N8" s="46" t="n">
        <v>110288898</v>
      </c>
      <c r="P8" s="25" t="n">
        <f aca="false">C8</f>
        <v>0</v>
      </c>
      <c r="Q8" s="25" t="n">
        <f aca="false">D8-C8</f>
        <v>0</v>
      </c>
      <c r="R8" s="25" t="n">
        <f aca="false">E8-D8</f>
        <v>0</v>
      </c>
      <c r="S8" s="25" t="n">
        <f aca="false">F8-E8</f>
        <v>0</v>
      </c>
      <c r="T8" s="25" t="n">
        <f aca="false">G8-F8</f>
        <v>0</v>
      </c>
      <c r="U8" s="25" t="n">
        <f aca="false">H8-G8</f>
        <v>23224126</v>
      </c>
      <c r="V8" s="25" t="n">
        <f aca="false">I8-H8</f>
        <v>0</v>
      </c>
      <c r="W8" s="25" t="n">
        <f aca="false">J8-I8</f>
        <v>0</v>
      </c>
      <c r="X8" s="25" t="n">
        <f aca="false">K8-J8</f>
        <v>0</v>
      </c>
      <c r="Y8" s="25" t="n">
        <f aca="false">L8-K8</f>
        <v>50050756</v>
      </c>
      <c r="Z8" s="25" t="n">
        <f aca="false">M8-L8</f>
        <v>37014016</v>
      </c>
      <c r="AA8" s="25" t="n">
        <f aca="false">N8-M8</f>
        <v>0</v>
      </c>
    </row>
    <row r="9" customFormat="false" ht="15" hidden="false" customHeight="false" outlineLevel="0" collapsed="false">
      <c r="A9" s="8" t="s">
        <v>88</v>
      </c>
      <c r="C9" s="46" t="n">
        <v>900000</v>
      </c>
      <c r="D9" s="46" t="n">
        <v>1800000</v>
      </c>
      <c r="E9" s="46" t="n">
        <v>2700000</v>
      </c>
      <c r="F9" s="46" t="n">
        <v>3600000</v>
      </c>
      <c r="G9" s="46" t="n">
        <v>4500000</v>
      </c>
      <c r="H9" s="46" t="n">
        <v>5400000</v>
      </c>
      <c r="I9" s="46" t="n">
        <v>6300000</v>
      </c>
      <c r="J9" s="46" t="n">
        <v>7200000</v>
      </c>
      <c r="K9" s="46" t="n">
        <v>8100000</v>
      </c>
      <c r="L9" s="46" t="n">
        <v>9000000</v>
      </c>
      <c r="M9" s="46" t="n">
        <v>9900000</v>
      </c>
      <c r="N9" s="46" t="n">
        <v>12300000</v>
      </c>
      <c r="P9" s="25" t="n">
        <f aca="false">C9</f>
        <v>900000</v>
      </c>
      <c r="Q9" s="25" t="n">
        <f aca="false">D9-C9</f>
        <v>900000</v>
      </c>
      <c r="R9" s="25" t="n">
        <f aca="false">E9-D9</f>
        <v>900000</v>
      </c>
      <c r="S9" s="25" t="n">
        <f aca="false">F9-E9</f>
        <v>900000</v>
      </c>
      <c r="T9" s="25" t="n">
        <f aca="false">G9-F9</f>
        <v>900000</v>
      </c>
      <c r="U9" s="25" t="n">
        <f aca="false">H9-G9</f>
        <v>900000</v>
      </c>
      <c r="V9" s="25" t="n">
        <f aca="false">I9-H9</f>
        <v>900000</v>
      </c>
      <c r="W9" s="25" t="n">
        <f aca="false">J9-I9</f>
        <v>900000</v>
      </c>
      <c r="X9" s="25" t="n">
        <f aca="false">K9-J9</f>
        <v>900000</v>
      </c>
      <c r="Y9" s="25" t="n">
        <f aca="false">L9-K9</f>
        <v>900000</v>
      </c>
      <c r="Z9" s="25" t="n">
        <f aca="false">M9-L9</f>
        <v>900000</v>
      </c>
      <c r="AA9" s="25" t="n">
        <f aca="false">N9-M9</f>
        <v>2400000</v>
      </c>
    </row>
    <row r="10" customFormat="false" ht="15" hidden="false" customHeight="false" outlineLevel="0" collapsed="false">
      <c r="A10" s="8" t="s">
        <v>142</v>
      </c>
      <c r="C10" s="46" t="n">
        <v>584901</v>
      </c>
      <c r="D10" s="46" t="n">
        <v>1164645</v>
      </c>
      <c r="E10" s="46" t="n">
        <v>1750405</v>
      </c>
      <c r="F10" s="46" t="n">
        <v>2188744</v>
      </c>
      <c r="G10" s="46" t="n">
        <v>2637397</v>
      </c>
      <c r="H10" s="46" t="n">
        <v>3073157</v>
      </c>
      <c r="I10" s="46" t="n">
        <v>3506339</v>
      </c>
      <c r="J10" s="46" t="n">
        <v>3938661</v>
      </c>
      <c r="K10" s="46" t="n">
        <v>4375281</v>
      </c>
      <c r="L10" s="46" t="n">
        <v>5361041</v>
      </c>
      <c r="M10" s="46" t="n">
        <v>5795942</v>
      </c>
      <c r="N10" s="46" t="n">
        <v>6215372</v>
      </c>
      <c r="P10" s="25" t="n">
        <f aca="false">C10</f>
        <v>584901</v>
      </c>
      <c r="Q10" s="25" t="n">
        <f aca="false">D10-C10</f>
        <v>579744</v>
      </c>
      <c r="R10" s="25" t="n">
        <f aca="false">E10-D10</f>
        <v>585760</v>
      </c>
      <c r="S10" s="25" t="n">
        <f aca="false">F10-E10</f>
        <v>438339</v>
      </c>
      <c r="T10" s="25" t="n">
        <f aca="false">G10-F10</f>
        <v>448653</v>
      </c>
      <c r="U10" s="25" t="n">
        <f aca="false">H10-G10</f>
        <v>435760</v>
      </c>
      <c r="V10" s="25" t="n">
        <f aca="false">I10-H10</f>
        <v>433182</v>
      </c>
      <c r="W10" s="25" t="n">
        <f aca="false">J10-I10</f>
        <v>432322</v>
      </c>
      <c r="X10" s="25" t="n">
        <f aca="false">K10-J10</f>
        <v>436620</v>
      </c>
      <c r="Y10" s="25" t="n">
        <f aca="false">L10-K10</f>
        <v>985760</v>
      </c>
      <c r="Z10" s="25" t="n">
        <f aca="false">M10-L10</f>
        <v>434901</v>
      </c>
      <c r="AA10" s="25" t="n">
        <f aca="false">N10-M10</f>
        <v>419430</v>
      </c>
    </row>
    <row r="11" customFormat="false" ht="15" hidden="false" customHeight="false" outlineLevel="0" collapsed="false">
      <c r="A11" s="8" t="s">
        <v>153</v>
      </c>
      <c r="C11" s="46" t="n">
        <v>0</v>
      </c>
      <c r="D11" s="46" t="n">
        <v>0</v>
      </c>
      <c r="E11" s="46" t="n">
        <v>650000</v>
      </c>
      <c r="F11" s="46" t="n">
        <v>650000</v>
      </c>
      <c r="G11" s="46" t="n">
        <v>650000</v>
      </c>
      <c r="H11" s="46" t="n">
        <v>650000</v>
      </c>
      <c r="I11" s="46" t="n">
        <v>650000</v>
      </c>
      <c r="J11" s="46" t="n">
        <v>650000</v>
      </c>
      <c r="K11" s="46" t="n">
        <v>650000</v>
      </c>
      <c r="L11" s="46" t="n">
        <v>650000</v>
      </c>
      <c r="M11" s="46" t="n">
        <v>650000</v>
      </c>
      <c r="N11" s="46" t="n">
        <v>650000</v>
      </c>
      <c r="P11" s="25" t="n">
        <f aca="false">C11</f>
        <v>0</v>
      </c>
      <c r="Q11" s="25" t="n">
        <f aca="false">D11-C11</f>
        <v>0</v>
      </c>
      <c r="R11" s="25" t="n">
        <f aca="false">E11-D11</f>
        <v>650000</v>
      </c>
      <c r="S11" s="25" t="n">
        <f aca="false">F11-E11</f>
        <v>0</v>
      </c>
      <c r="T11" s="25" t="n">
        <f aca="false">G11-F11</f>
        <v>0</v>
      </c>
      <c r="U11" s="25" t="n">
        <f aca="false">H11-G11</f>
        <v>0</v>
      </c>
      <c r="V11" s="25" t="n">
        <f aca="false">I11-H11</f>
        <v>0</v>
      </c>
      <c r="W11" s="25" t="n">
        <f aca="false">J11-I11</f>
        <v>0</v>
      </c>
      <c r="X11" s="25" t="n">
        <f aca="false">K11-J11</f>
        <v>0</v>
      </c>
      <c r="Y11" s="25" t="n">
        <f aca="false">L11-K11</f>
        <v>0</v>
      </c>
      <c r="Z11" s="25" t="n">
        <f aca="false">M11-L11</f>
        <v>0</v>
      </c>
      <c r="AA11" s="25" t="n">
        <f aca="false">N11-M11</f>
        <v>0</v>
      </c>
    </row>
    <row r="12" customFormat="false" ht="15" hidden="false" customHeight="false" outlineLevel="0" collapsed="false">
      <c r="A12" s="8" t="s">
        <v>149</v>
      </c>
      <c r="C12" s="46" t="n">
        <v>194262</v>
      </c>
      <c r="D12" s="46" t="n">
        <v>191957</v>
      </c>
      <c r="E12" s="46" t="n">
        <v>310289</v>
      </c>
      <c r="F12" s="46" t="n">
        <v>432179</v>
      </c>
      <c r="G12" s="46" t="n">
        <v>637960</v>
      </c>
      <c r="H12" s="46" t="n">
        <v>884118</v>
      </c>
      <c r="I12" s="46" t="n">
        <v>1006271</v>
      </c>
      <c r="J12" s="46" t="n">
        <v>1004128</v>
      </c>
      <c r="K12" s="46" t="n">
        <v>1252495</v>
      </c>
      <c r="L12" s="46" t="n">
        <v>1372299</v>
      </c>
      <c r="M12" s="46" t="n">
        <v>1495408</v>
      </c>
      <c r="N12" s="46" t="n">
        <v>1703283</v>
      </c>
      <c r="P12" s="25" t="n">
        <f aca="false">C12</f>
        <v>194262</v>
      </c>
      <c r="Q12" s="25" t="n">
        <f aca="false">D12-C12</f>
        <v>-2305</v>
      </c>
      <c r="R12" s="25" t="n">
        <f aca="false">E12-D12</f>
        <v>118332</v>
      </c>
      <c r="S12" s="25" t="n">
        <f aca="false">F12-E12</f>
        <v>121890</v>
      </c>
      <c r="T12" s="25" t="n">
        <f aca="false">G12-F12</f>
        <v>205781</v>
      </c>
      <c r="U12" s="25" t="n">
        <f aca="false">H12-G12</f>
        <v>246158</v>
      </c>
      <c r="V12" s="25" t="n">
        <f aca="false">I12-H12</f>
        <v>122153</v>
      </c>
      <c r="W12" s="25" t="n">
        <f aca="false">J12-I12</f>
        <v>-2143</v>
      </c>
      <c r="X12" s="25" t="n">
        <f aca="false">K12-J12</f>
        <v>248367</v>
      </c>
      <c r="Y12" s="25" t="n">
        <f aca="false">L12-K12</f>
        <v>119804</v>
      </c>
      <c r="Z12" s="25" t="n">
        <f aca="false">M12-L12</f>
        <v>123109</v>
      </c>
      <c r="AA12" s="25" t="n">
        <f aca="false">N12-M12</f>
        <v>207875</v>
      </c>
    </row>
    <row r="13" customFormat="false" ht="15" hidden="false" customHeight="false" outlineLevel="0" collapsed="false">
      <c r="A13" s="8" t="s">
        <v>144</v>
      </c>
      <c r="C13" s="46" t="n">
        <v>439047</v>
      </c>
      <c r="D13" s="46" t="n">
        <v>702165</v>
      </c>
      <c r="E13" s="46" t="n">
        <v>1648421</v>
      </c>
      <c r="F13" s="46" t="n">
        <v>2149381</v>
      </c>
      <c r="G13" s="46" t="n">
        <v>2511525</v>
      </c>
      <c r="H13" s="46" t="n">
        <v>2710461</v>
      </c>
      <c r="I13" s="46" t="n">
        <v>2970906</v>
      </c>
      <c r="J13" s="46" t="n">
        <v>3213285</v>
      </c>
      <c r="K13" s="46" t="n">
        <v>3634352</v>
      </c>
      <c r="L13" s="46" t="n">
        <v>3907088</v>
      </c>
      <c r="M13" s="46" t="n">
        <v>4239956</v>
      </c>
      <c r="N13" s="46" t="n">
        <v>4820303</v>
      </c>
      <c r="P13" s="25" t="n">
        <f aca="false">C13</f>
        <v>439047</v>
      </c>
      <c r="Q13" s="25" t="n">
        <f aca="false">D13-C13</f>
        <v>263118</v>
      </c>
      <c r="R13" s="25" t="n">
        <f aca="false">E13-D13</f>
        <v>946256</v>
      </c>
      <c r="S13" s="25" t="n">
        <f aca="false">F13-E13</f>
        <v>500960</v>
      </c>
      <c r="T13" s="25" t="n">
        <f aca="false">G13-F13</f>
        <v>362144</v>
      </c>
      <c r="U13" s="25" t="n">
        <f aca="false">H13-G13</f>
        <v>198936</v>
      </c>
      <c r="V13" s="25" t="n">
        <f aca="false">I13-H13</f>
        <v>260445</v>
      </c>
      <c r="W13" s="25" t="n">
        <f aca="false">J13-I13</f>
        <v>242379</v>
      </c>
      <c r="X13" s="25" t="n">
        <f aca="false">K13-J13</f>
        <v>421067</v>
      </c>
      <c r="Y13" s="25" t="n">
        <f aca="false">L13-K13</f>
        <v>272736</v>
      </c>
      <c r="Z13" s="25" t="n">
        <f aca="false">M13-L13</f>
        <v>332868</v>
      </c>
      <c r="AA13" s="25" t="n">
        <f aca="false">N13-M13</f>
        <v>580347</v>
      </c>
    </row>
    <row r="14" customFormat="false" ht="15" hidden="false" customHeight="false" outlineLevel="0" collapsed="false">
      <c r="A14" s="8" t="s">
        <v>90</v>
      </c>
      <c r="C14" s="46" t="n">
        <v>877958</v>
      </c>
      <c r="D14" s="46" t="n">
        <v>1741916</v>
      </c>
      <c r="E14" s="46" t="n">
        <v>2605874</v>
      </c>
      <c r="F14" s="46" t="n">
        <v>3494022</v>
      </c>
      <c r="G14" s="46" t="n">
        <v>4362810</v>
      </c>
      <c r="H14" s="46" t="n">
        <v>5231598</v>
      </c>
      <c r="I14" s="46" t="n">
        <v>6100386</v>
      </c>
      <c r="J14" s="46" t="n">
        <v>6969174</v>
      </c>
      <c r="K14" s="46" t="n">
        <v>16138245</v>
      </c>
      <c r="L14" s="46" t="n">
        <v>18729693</v>
      </c>
      <c r="M14" s="46" t="n">
        <v>20079749</v>
      </c>
      <c r="N14" s="46" t="n">
        <v>24617595</v>
      </c>
      <c r="P14" s="25" t="n">
        <f aca="false">C14</f>
        <v>877958</v>
      </c>
      <c r="Q14" s="25" t="n">
        <f aca="false">D14-C14</f>
        <v>863958</v>
      </c>
      <c r="R14" s="25" t="n">
        <f aca="false">E14-D14</f>
        <v>863958</v>
      </c>
      <c r="S14" s="25" t="n">
        <f aca="false">F14-E14</f>
        <v>888148</v>
      </c>
      <c r="T14" s="25" t="n">
        <f aca="false">G14-F14</f>
        <v>868788</v>
      </c>
      <c r="U14" s="25" t="n">
        <f aca="false">H14-G14</f>
        <v>868788</v>
      </c>
      <c r="V14" s="25" t="n">
        <f aca="false">I14-H14</f>
        <v>868788</v>
      </c>
      <c r="W14" s="25" t="n">
        <f aca="false">J14-I14</f>
        <v>868788</v>
      </c>
      <c r="X14" s="25" t="n">
        <f aca="false">K14-J14</f>
        <v>9169071</v>
      </c>
      <c r="Y14" s="25" t="n">
        <f aca="false">L14-K14</f>
        <v>2591448</v>
      </c>
      <c r="Z14" s="25" t="n">
        <f aca="false">M14-L14</f>
        <v>1350056</v>
      </c>
      <c r="AA14" s="25" t="n">
        <f aca="false">N14-M14</f>
        <v>4537846</v>
      </c>
    </row>
    <row r="15" customFormat="false" ht="15" hidden="false" customHeight="false" outlineLevel="0" collapsed="false">
      <c r="A15" s="8" t="s">
        <v>91</v>
      </c>
      <c r="C15" s="46" t="n">
        <v>0</v>
      </c>
      <c r="D15" s="46" t="n">
        <v>0</v>
      </c>
      <c r="E15" s="46" t="n">
        <v>0</v>
      </c>
      <c r="F15" s="46" t="n">
        <v>71800</v>
      </c>
      <c r="G15" s="46" t="n">
        <v>267569</v>
      </c>
      <c r="H15" s="46" t="n">
        <v>272895</v>
      </c>
      <c r="I15" s="46" t="n">
        <v>5496995</v>
      </c>
      <c r="J15" s="46" t="n">
        <v>7216795</v>
      </c>
      <c r="K15" s="46" t="n">
        <v>7252295</v>
      </c>
      <c r="L15" s="46" t="n">
        <v>7268000</v>
      </c>
      <c r="M15" s="46" t="n">
        <v>7290952</v>
      </c>
      <c r="N15" s="46" t="n">
        <v>7291552</v>
      </c>
      <c r="P15" s="25" t="n">
        <f aca="false">C15</f>
        <v>0</v>
      </c>
      <c r="Q15" s="25" t="n">
        <f aca="false">D15-C15</f>
        <v>0</v>
      </c>
      <c r="R15" s="25" t="n">
        <f aca="false">E15-D15</f>
        <v>0</v>
      </c>
      <c r="S15" s="25" t="n">
        <f aca="false">F15-E15</f>
        <v>71800</v>
      </c>
      <c r="T15" s="25" t="n">
        <f aca="false">G15-F15</f>
        <v>195769</v>
      </c>
      <c r="U15" s="25" t="n">
        <f aca="false">H15-G15</f>
        <v>5326</v>
      </c>
      <c r="V15" s="25" t="n">
        <f aca="false">I15-H15</f>
        <v>5224100</v>
      </c>
      <c r="W15" s="25" t="n">
        <f aca="false">J15-I15</f>
        <v>1719800</v>
      </c>
      <c r="X15" s="25" t="n">
        <f aca="false">K15-J15</f>
        <v>35500</v>
      </c>
      <c r="Y15" s="25" t="n">
        <f aca="false">L15-K15</f>
        <v>15705</v>
      </c>
      <c r="Z15" s="25" t="n">
        <f aca="false">M15-L15</f>
        <v>22952</v>
      </c>
      <c r="AA15" s="25" t="n">
        <f aca="false">N15-M15</f>
        <v>600</v>
      </c>
    </row>
    <row r="16" customFormat="false" ht="15" hidden="false" customHeight="false" outlineLevel="0" collapsed="false">
      <c r="A16" s="8" t="s">
        <v>147</v>
      </c>
      <c r="C16" s="46" t="n">
        <v>211751</v>
      </c>
      <c r="D16" s="46" t="n">
        <v>376793</v>
      </c>
      <c r="E16" s="46" t="n">
        <v>546034</v>
      </c>
      <c r="F16" s="46" t="n">
        <v>722765</v>
      </c>
      <c r="G16" s="46" t="n">
        <v>904238</v>
      </c>
      <c r="H16" s="46" t="n">
        <v>1082755</v>
      </c>
      <c r="I16" s="46" t="n">
        <v>1244308</v>
      </c>
      <c r="J16" s="46" t="n">
        <v>1408709</v>
      </c>
      <c r="K16" s="46" t="n">
        <v>1596998</v>
      </c>
      <c r="L16" s="46" t="n">
        <v>1827900</v>
      </c>
      <c r="M16" s="46" t="n">
        <v>2055681</v>
      </c>
      <c r="N16" s="46" t="n">
        <v>2288413</v>
      </c>
      <c r="P16" s="25" t="n">
        <f aca="false">C16</f>
        <v>211751</v>
      </c>
      <c r="Q16" s="25" t="n">
        <f aca="false">D16-C16</f>
        <v>165042</v>
      </c>
      <c r="R16" s="25" t="n">
        <f aca="false">E16-D16</f>
        <v>169241</v>
      </c>
      <c r="S16" s="25" t="n">
        <f aca="false">F16-E16</f>
        <v>176731</v>
      </c>
      <c r="T16" s="25" t="n">
        <f aca="false">G16-F16</f>
        <v>181473</v>
      </c>
      <c r="U16" s="25" t="n">
        <f aca="false">H16-G16</f>
        <v>178517</v>
      </c>
      <c r="V16" s="25" t="n">
        <f aca="false">I16-H16</f>
        <v>161553</v>
      </c>
      <c r="W16" s="25" t="n">
        <f aca="false">J16-I16</f>
        <v>164401</v>
      </c>
      <c r="X16" s="25" t="n">
        <f aca="false">K16-J16</f>
        <v>188289</v>
      </c>
      <c r="Y16" s="25" t="n">
        <f aca="false">L16-K16</f>
        <v>230902</v>
      </c>
      <c r="Z16" s="25" t="n">
        <f aca="false">M16-L16</f>
        <v>227781</v>
      </c>
      <c r="AA16" s="25" t="n">
        <f aca="false">N16-M16</f>
        <v>232732</v>
      </c>
    </row>
    <row r="17" customFormat="false" ht="15" hidden="false" customHeight="false" outlineLevel="0" collapsed="false">
      <c r="A17" s="8" t="s">
        <v>146</v>
      </c>
      <c r="C17" s="46" t="n">
        <v>220964</v>
      </c>
      <c r="D17" s="46" t="n">
        <v>497851</v>
      </c>
      <c r="E17" s="46" t="n">
        <v>849722</v>
      </c>
      <c r="F17" s="46" t="n">
        <v>1178744</v>
      </c>
      <c r="G17" s="46" t="n">
        <v>1380511</v>
      </c>
      <c r="H17" s="46" t="n">
        <v>1696520</v>
      </c>
      <c r="I17" s="46" t="n">
        <v>1995319</v>
      </c>
      <c r="J17" s="46" t="n">
        <v>2255572</v>
      </c>
      <c r="K17" s="46" t="n">
        <v>2574708</v>
      </c>
      <c r="L17" s="46" t="n">
        <v>2859038</v>
      </c>
      <c r="M17" s="46" t="n">
        <v>3281175</v>
      </c>
      <c r="N17" s="46" t="n">
        <v>3566993</v>
      </c>
      <c r="P17" s="25" t="n">
        <f aca="false">C17</f>
        <v>220964</v>
      </c>
      <c r="Q17" s="25" t="n">
        <f aca="false">D17-C17</f>
        <v>276887</v>
      </c>
      <c r="R17" s="25" t="n">
        <f aca="false">E17-D17</f>
        <v>351871</v>
      </c>
      <c r="S17" s="25" t="n">
        <f aca="false">F17-E17</f>
        <v>329022</v>
      </c>
      <c r="T17" s="25" t="n">
        <f aca="false">G17-F17</f>
        <v>201767</v>
      </c>
      <c r="U17" s="25" t="n">
        <f aca="false">H17-G17</f>
        <v>316009</v>
      </c>
      <c r="V17" s="25" t="n">
        <f aca="false">I17-H17</f>
        <v>298799</v>
      </c>
      <c r="W17" s="25" t="n">
        <f aca="false">J17-I17</f>
        <v>260253</v>
      </c>
      <c r="X17" s="25" t="n">
        <f aca="false">K17-J17</f>
        <v>319136</v>
      </c>
      <c r="Y17" s="25" t="n">
        <f aca="false">L17-K17</f>
        <v>284330</v>
      </c>
      <c r="Z17" s="25" t="n">
        <f aca="false">M17-L17</f>
        <v>422137</v>
      </c>
      <c r="AA17" s="25" t="n">
        <f aca="false">N17-M17</f>
        <v>285818</v>
      </c>
    </row>
    <row r="18" customFormat="false" ht="15" hidden="false" customHeight="false" outlineLevel="0" collapsed="false">
      <c r="A18" s="8" t="s">
        <v>139</v>
      </c>
      <c r="C18" s="46" t="n">
        <v>471056</v>
      </c>
      <c r="D18" s="46" t="n">
        <v>2620419</v>
      </c>
      <c r="E18" s="46" t="n">
        <v>3953500</v>
      </c>
      <c r="F18" s="46" t="n">
        <v>4487069</v>
      </c>
      <c r="G18" s="46" t="n">
        <v>5004182</v>
      </c>
      <c r="H18" s="46" t="n">
        <v>6047423</v>
      </c>
      <c r="I18" s="46" t="n">
        <v>6589962</v>
      </c>
      <c r="J18" s="46" t="n">
        <v>7392690</v>
      </c>
      <c r="K18" s="46" t="n">
        <v>8042164</v>
      </c>
      <c r="L18" s="46" t="n">
        <v>8673950</v>
      </c>
      <c r="M18" s="46" t="n">
        <v>8943675</v>
      </c>
      <c r="N18" s="46" t="n">
        <v>9044839</v>
      </c>
      <c r="P18" s="25" t="n">
        <f aca="false">C18</f>
        <v>471056</v>
      </c>
      <c r="Q18" s="25" t="n">
        <f aca="false">D18-C18</f>
        <v>2149363</v>
      </c>
      <c r="R18" s="25" t="n">
        <f aca="false">E18-D18</f>
        <v>1333081</v>
      </c>
      <c r="S18" s="25" t="n">
        <f aca="false">F18-E18</f>
        <v>533569</v>
      </c>
      <c r="T18" s="25" t="n">
        <f aca="false">G18-F18</f>
        <v>517113</v>
      </c>
      <c r="U18" s="25" t="n">
        <f aca="false">H18-G18</f>
        <v>1043241</v>
      </c>
      <c r="V18" s="25" t="n">
        <f aca="false">I18-H18</f>
        <v>542539</v>
      </c>
      <c r="W18" s="25" t="n">
        <f aca="false">J18-I18</f>
        <v>802728</v>
      </c>
      <c r="X18" s="25" t="n">
        <f aca="false">K18-J18</f>
        <v>649474</v>
      </c>
      <c r="Y18" s="25" t="n">
        <f aca="false">L18-K18</f>
        <v>631786</v>
      </c>
      <c r="Z18" s="25" t="n">
        <f aca="false">M18-L18</f>
        <v>269725</v>
      </c>
      <c r="AA18" s="25" t="n">
        <f aca="false">N18-M18</f>
        <v>101164</v>
      </c>
    </row>
    <row r="19" customFormat="false" ht="15" hidden="false" customHeight="false" outlineLevel="0" collapsed="false">
      <c r="A19" s="8" t="s">
        <v>148</v>
      </c>
      <c r="C19" s="46" t="n">
        <v>199700</v>
      </c>
      <c r="D19" s="46" t="n">
        <v>335700</v>
      </c>
      <c r="E19" s="46" t="n">
        <v>479164</v>
      </c>
      <c r="F19" s="46" t="n">
        <v>626264</v>
      </c>
      <c r="G19" s="46" t="n">
        <v>773364</v>
      </c>
      <c r="H19" s="46" t="n">
        <v>934064</v>
      </c>
      <c r="I19" s="46" t="n">
        <v>1180428</v>
      </c>
      <c r="J19" s="46" t="n">
        <v>1313155</v>
      </c>
      <c r="K19" s="46" t="n">
        <v>1495355</v>
      </c>
      <c r="L19" s="46" t="n">
        <v>1617455</v>
      </c>
      <c r="M19" s="46" t="n">
        <v>1760919</v>
      </c>
      <c r="N19" s="46" t="n">
        <v>1907019</v>
      </c>
      <c r="P19" s="25" t="n">
        <f aca="false">C19</f>
        <v>199700</v>
      </c>
      <c r="Q19" s="25" t="n">
        <f aca="false">D19-C19</f>
        <v>136000</v>
      </c>
      <c r="R19" s="25" t="n">
        <f aca="false">E19-D19</f>
        <v>143464</v>
      </c>
      <c r="S19" s="25" t="n">
        <f aca="false">F19-E19</f>
        <v>147100</v>
      </c>
      <c r="T19" s="25" t="n">
        <f aca="false">G19-F19</f>
        <v>147100</v>
      </c>
      <c r="U19" s="25" t="n">
        <f aca="false">H19-G19</f>
        <v>160700</v>
      </c>
      <c r="V19" s="25" t="n">
        <f aca="false">I19-H19</f>
        <v>246364</v>
      </c>
      <c r="W19" s="25" t="n">
        <f aca="false">J19-I19</f>
        <v>132727</v>
      </c>
      <c r="X19" s="25" t="n">
        <f aca="false">K19-J19</f>
        <v>182200</v>
      </c>
      <c r="Y19" s="25" t="n">
        <f aca="false">L19-K19</f>
        <v>122100</v>
      </c>
      <c r="Z19" s="25" t="n">
        <f aca="false">M19-L19</f>
        <v>143464</v>
      </c>
      <c r="AA19" s="25" t="n">
        <f aca="false">N19-M19</f>
        <v>146100</v>
      </c>
    </row>
    <row r="20" customFormat="false" ht="15" hidden="false" customHeight="false" outlineLevel="0" collapsed="false">
      <c r="A20" s="8" t="s">
        <v>156</v>
      </c>
      <c r="C20" s="46" t="n">
        <v>0</v>
      </c>
      <c r="D20" s="46" t="n">
        <v>0</v>
      </c>
      <c r="E20" s="46" t="n">
        <v>0</v>
      </c>
      <c r="F20" s="46" t="n">
        <v>38909</v>
      </c>
      <c r="G20" s="46" t="n">
        <v>128909</v>
      </c>
      <c r="H20" s="46" t="n">
        <v>128909</v>
      </c>
      <c r="I20" s="46" t="n">
        <v>400629</v>
      </c>
      <c r="J20" s="46" t="n">
        <v>400629</v>
      </c>
      <c r="K20" s="46" t="n">
        <v>400629</v>
      </c>
      <c r="L20" s="46" t="n">
        <v>400629</v>
      </c>
      <c r="M20" s="46" t="n">
        <v>400629</v>
      </c>
      <c r="N20" s="46" t="n">
        <v>413029</v>
      </c>
      <c r="P20" s="25" t="n">
        <f aca="false">C20</f>
        <v>0</v>
      </c>
      <c r="Q20" s="25" t="n">
        <f aca="false">D20-C20</f>
        <v>0</v>
      </c>
      <c r="R20" s="25" t="n">
        <f aca="false">E20-D20</f>
        <v>0</v>
      </c>
      <c r="S20" s="25" t="n">
        <f aca="false">F20-E20</f>
        <v>38909</v>
      </c>
      <c r="T20" s="25" t="n">
        <f aca="false">G20-F20</f>
        <v>90000</v>
      </c>
      <c r="U20" s="25" t="n">
        <f aca="false">H20-G20</f>
        <v>0</v>
      </c>
      <c r="V20" s="25" t="n">
        <f aca="false">I20-H20</f>
        <v>271720</v>
      </c>
      <c r="W20" s="25" t="n">
        <f aca="false">J20-I20</f>
        <v>0</v>
      </c>
      <c r="X20" s="25" t="n">
        <f aca="false">K20-J20</f>
        <v>0</v>
      </c>
      <c r="Y20" s="25" t="n">
        <f aca="false">L20-K20</f>
        <v>0</v>
      </c>
      <c r="Z20" s="25" t="n">
        <f aca="false">M20-L20</f>
        <v>0</v>
      </c>
      <c r="AA20" s="25" t="n">
        <f aca="false">N20-M20</f>
        <v>12400</v>
      </c>
    </row>
    <row r="21" customFormat="false" ht="15" hidden="false" customHeight="false" outlineLevel="0" collapsed="false">
      <c r="A21" s="8" t="s">
        <v>157</v>
      </c>
      <c r="C21" s="46" t="n">
        <v>43249</v>
      </c>
      <c r="D21" s="46" t="n">
        <v>57768</v>
      </c>
      <c r="E21" s="46" t="n">
        <v>71397</v>
      </c>
      <c r="F21" s="46" t="n">
        <v>83012</v>
      </c>
      <c r="G21" s="46" t="n">
        <v>95325</v>
      </c>
      <c r="H21" s="46" t="n">
        <v>136230</v>
      </c>
      <c r="I21" s="46" t="n">
        <v>149395</v>
      </c>
      <c r="J21" s="46" t="n">
        <v>161271</v>
      </c>
      <c r="K21" s="46" t="n">
        <v>172533</v>
      </c>
      <c r="L21" s="46" t="n">
        <v>191019</v>
      </c>
      <c r="M21" s="46" t="n">
        <v>204909</v>
      </c>
      <c r="N21" s="46" t="n">
        <v>218496</v>
      </c>
      <c r="P21" s="25" t="n">
        <f aca="false">C21</f>
        <v>43249</v>
      </c>
      <c r="Q21" s="25" t="n">
        <f aca="false">D21-C21</f>
        <v>14519</v>
      </c>
      <c r="R21" s="25" t="n">
        <f aca="false">E21-D21</f>
        <v>13629</v>
      </c>
      <c r="S21" s="25" t="n">
        <f aca="false">F21-E21</f>
        <v>11615</v>
      </c>
      <c r="T21" s="25" t="n">
        <f aca="false">G21-F21</f>
        <v>12313</v>
      </c>
      <c r="U21" s="25" t="n">
        <f aca="false">H21-G21</f>
        <v>40905</v>
      </c>
      <c r="V21" s="25" t="n">
        <f aca="false">I21-H21</f>
        <v>13165</v>
      </c>
      <c r="W21" s="25" t="n">
        <f aca="false">J21-I21</f>
        <v>11876</v>
      </c>
      <c r="X21" s="25" t="n">
        <f aca="false">K21-J21</f>
        <v>11262</v>
      </c>
      <c r="Y21" s="25" t="n">
        <f aca="false">L21-K21</f>
        <v>18486</v>
      </c>
      <c r="Z21" s="25" t="n">
        <f aca="false">M21-L21</f>
        <v>13890</v>
      </c>
      <c r="AA21" s="25" t="n">
        <f aca="false">N21-M21</f>
        <v>13587</v>
      </c>
    </row>
    <row r="22" customFormat="false" ht="15" hidden="false" customHeight="false" outlineLevel="0" collapsed="false">
      <c r="A22" s="8" t="s">
        <v>154</v>
      </c>
      <c r="C22" s="46" t="n">
        <v>30436</v>
      </c>
      <c r="D22" s="46" t="n">
        <v>37960</v>
      </c>
      <c r="E22" s="46" t="n">
        <v>54342</v>
      </c>
      <c r="F22" s="46" t="n">
        <v>80362</v>
      </c>
      <c r="G22" s="46" t="n">
        <v>100206</v>
      </c>
      <c r="H22" s="46" t="n">
        <v>126798</v>
      </c>
      <c r="I22" s="46" t="n">
        <v>157863</v>
      </c>
      <c r="J22" s="46" t="n">
        <v>174712</v>
      </c>
      <c r="K22" s="46" t="n">
        <v>189173</v>
      </c>
      <c r="L22" s="46" t="n">
        <v>262162</v>
      </c>
      <c r="M22" s="46" t="n">
        <v>399551</v>
      </c>
      <c r="N22" s="46" t="n">
        <v>629407</v>
      </c>
      <c r="P22" s="25" t="n">
        <f aca="false">C22</f>
        <v>30436</v>
      </c>
      <c r="Q22" s="25" t="n">
        <f aca="false">D22-C22</f>
        <v>7524</v>
      </c>
      <c r="R22" s="25" t="n">
        <f aca="false">E22-D22</f>
        <v>16382</v>
      </c>
      <c r="S22" s="25" t="n">
        <f aca="false">F22-E22</f>
        <v>26020</v>
      </c>
      <c r="T22" s="25" t="n">
        <f aca="false">G22-F22</f>
        <v>19844</v>
      </c>
      <c r="U22" s="25" t="n">
        <f aca="false">H22-G22</f>
        <v>26592</v>
      </c>
      <c r="V22" s="25" t="n">
        <f aca="false">I22-H22</f>
        <v>31065</v>
      </c>
      <c r="W22" s="25" t="n">
        <f aca="false">J22-I22</f>
        <v>16849</v>
      </c>
      <c r="X22" s="25" t="n">
        <f aca="false">K22-J22</f>
        <v>14461</v>
      </c>
      <c r="Y22" s="25" t="n">
        <f aca="false">L22-K22</f>
        <v>72989</v>
      </c>
      <c r="Z22" s="25" t="n">
        <f aca="false">M22-L22</f>
        <v>137389</v>
      </c>
      <c r="AA22" s="25" t="n">
        <f aca="false">N22-M22</f>
        <v>229856</v>
      </c>
    </row>
    <row r="23" customFormat="false" ht="15" hidden="false" customHeight="false" outlineLevel="0" collapsed="false">
      <c r="A23" s="8" t="s">
        <v>150</v>
      </c>
      <c r="C23" s="46" t="n">
        <v>111500</v>
      </c>
      <c r="D23" s="46" t="n">
        <v>223000</v>
      </c>
      <c r="E23" s="46" t="n">
        <v>334500</v>
      </c>
      <c r="F23" s="46" t="n">
        <v>686000</v>
      </c>
      <c r="G23" s="46" t="n">
        <v>867451</v>
      </c>
      <c r="H23" s="46" t="n">
        <v>993251</v>
      </c>
      <c r="I23" s="46" t="n">
        <v>1104751</v>
      </c>
      <c r="J23" s="46" t="n">
        <v>1216251</v>
      </c>
      <c r="K23" s="46" t="n">
        <v>1387751</v>
      </c>
      <c r="L23" s="46" t="n">
        <v>1499251</v>
      </c>
      <c r="M23" s="46" t="n">
        <v>1610751</v>
      </c>
      <c r="N23" s="46" t="n">
        <v>1722251</v>
      </c>
      <c r="P23" s="25" t="n">
        <f aca="false">C23</f>
        <v>111500</v>
      </c>
      <c r="Q23" s="25" t="n">
        <f aca="false">D23-C23</f>
        <v>111500</v>
      </c>
      <c r="R23" s="25" t="n">
        <f aca="false">E23-D23</f>
        <v>111500</v>
      </c>
      <c r="S23" s="25" t="n">
        <f aca="false">F23-E23</f>
        <v>351500</v>
      </c>
      <c r="T23" s="25" t="n">
        <f aca="false">G23-F23</f>
        <v>181451</v>
      </c>
      <c r="U23" s="25" t="n">
        <f aca="false">H23-G23</f>
        <v>125800</v>
      </c>
      <c r="V23" s="25" t="n">
        <f aca="false">I23-H23</f>
        <v>111500</v>
      </c>
      <c r="W23" s="25" t="n">
        <f aca="false">J23-I23</f>
        <v>111500</v>
      </c>
      <c r="X23" s="25" t="n">
        <f aca="false">K23-J23</f>
        <v>171500</v>
      </c>
      <c r="Y23" s="25" t="n">
        <f aca="false">L23-K23</f>
        <v>111500</v>
      </c>
      <c r="Z23" s="25" t="n">
        <f aca="false">M23-L23</f>
        <v>111500</v>
      </c>
      <c r="AA23" s="25" t="n">
        <f aca="false">N23-M23</f>
        <v>111500</v>
      </c>
    </row>
    <row r="24" customFormat="false" ht="15" hidden="false" customHeight="false" outlineLevel="0" collapsed="false">
      <c r="A24" s="8" t="s">
        <v>152</v>
      </c>
      <c r="C24" s="46" t="n">
        <v>16550</v>
      </c>
      <c r="D24" s="46" t="n">
        <v>165082</v>
      </c>
      <c r="E24" s="46" t="n">
        <v>276641</v>
      </c>
      <c r="F24" s="46" t="n">
        <v>433984</v>
      </c>
      <c r="G24" s="46" t="n">
        <v>570061</v>
      </c>
      <c r="H24" s="46" t="n">
        <v>656166</v>
      </c>
      <c r="I24" s="46" t="n">
        <v>808116</v>
      </c>
      <c r="J24" s="46" t="n">
        <v>946211</v>
      </c>
      <c r="K24" s="46" t="n">
        <v>1030661</v>
      </c>
      <c r="L24" s="46" t="n">
        <v>1123256</v>
      </c>
      <c r="M24" s="46" t="n">
        <v>1237506</v>
      </c>
      <c r="N24" s="46" t="n">
        <v>1321156</v>
      </c>
      <c r="P24" s="25" t="n">
        <f aca="false">C24</f>
        <v>16550</v>
      </c>
      <c r="Q24" s="25" t="n">
        <f aca="false">D24-C24</f>
        <v>148532</v>
      </c>
      <c r="R24" s="25" t="n">
        <f aca="false">E24-D24</f>
        <v>111559</v>
      </c>
      <c r="S24" s="25" t="n">
        <f aca="false">F24-E24</f>
        <v>157343</v>
      </c>
      <c r="T24" s="25" t="n">
        <f aca="false">G24-F24</f>
        <v>136077</v>
      </c>
      <c r="U24" s="25" t="n">
        <f aca="false">H24-G24</f>
        <v>86105</v>
      </c>
      <c r="V24" s="25" t="n">
        <f aca="false">I24-H24</f>
        <v>151950</v>
      </c>
      <c r="W24" s="25" t="n">
        <f aca="false">J24-I24</f>
        <v>138095</v>
      </c>
      <c r="X24" s="25" t="n">
        <f aca="false">K24-J24</f>
        <v>84450</v>
      </c>
      <c r="Y24" s="25" t="n">
        <f aca="false">L24-K24</f>
        <v>92595</v>
      </c>
      <c r="Z24" s="25" t="n">
        <f aca="false">M24-L24</f>
        <v>114250</v>
      </c>
      <c r="AA24" s="25" t="n">
        <f aca="false">N24-M24</f>
        <v>83650</v>
      </c>
    </row>
    <row r="25" customFormat="false" ht="15" hidden="false" customHeight="false" outlineLevel="0" collapsed="false">
      <c r="A25" s="8" t="s">
        <v>158</v>
      </c>
      <c r="C25" s="46" t="n">
        <v>0</v>
      </c>
      <c r="D25" s="46" t="n">
        <v>0</v>
      </c>
      <c r="E25" s="46" t="n">
        <v>38250</v>
      </c>
      <c r="F25" s="46" t="n">
        <v>38250</v>
      </c>
      <c r="G25" s="46" t="n">
        <v>38250</v>
      </c>
      <c r="H25" s="46" t="n">
        <v>38250</v>
      </c>
      <c r="I25" s="46" t="n">
        <v>38250</v>
      </c>
      <c r="J25" s="46" t="n">
        <v>38250</v>
      </c>
      <c r="K25" s="46" t="n">
        <v>38250</v>
      </c>
      <c r="L25" s="46" t="n">
        <v>38250</v>
      </c>
      <c r="M25" s="46" t="n">
        <v>38250</v>
      </c>
      <c r="N25" s="46" t="n">
        <v>38250</v>
      </c>
      <c r="P25" s="25" t="n">
        <f aca="false">C25</f>
        <v>0</v>
      </c>
      <c r="Q25" s="25" t="n">
        <f aca="false">D25-C25</f>
        <v>0</v>
      </c>
      <c r="R25" s="25" t="n">
        <f aca="false">E25-D25</f>
        <v>38250</v>
      </c>
      <c r="S25" s="25" t="n">
        <f aca="false">F25-E25</f>
        <v>0</v>
      </c>
      <c r="T25" s="25" t="n">
        <f aca="false">G25-F25</f>
        <v>0</v>
      </c>
      <c r="U25" s="25" t="n">
        <f aca="false">H25-G25</f>
        <v>0</v>
      </c>
      <c r="V25" s="25" t="n">
        <f aca="false">I25-H25</f>
        <v>0</v>
      </c>
      <c r="W25" s="25" t="n">
        <f aca="false">J25-I25</f>
        <v>0</v>
      </c>
      <c r="X25" s="25" t="n">
        <f aca="false">K25-J25</f>
        <v>0</v>
      </c>
      <c r="Y25" s="25" t="n">
        <f aca="false">L25-K25</f>
        <v>0</v>
      </c>
      <c r="Z25" s="25" t="n">
        <f aca="false">M25-L25</f>
        <v>0</v>
      </c>
      <c r="AA25" s="25" t="n">
        <f aca="false">N25-M25</f>
        <v>0</v>
      </c>
    </row>
    <row r="26" customFormat="false" ht="15" hidden="false" customHeight="false" outlineLevel="0" collapsed="false">
      <c r="A26" s="8" t="s">
        <v>159</v>
      </c>
      <c r="C26" s="46" t="n">
        <v>0</v>
      </c>
      <c r="D26" s="46" t="n">
        <v>0</v>
      </c>
      <c r="E26" s="46" t="n">
        <v>0</v>
      </c>
      <c r="F26" s="46" t="n">
        <v>18000</v>
      </c>
      <c r="G26" s="46" t="n">
        <v>18000</v>
      </c>
      <c r="H26" s="46" t="n">
        <v>18000</v>
      </c>
      <c r="I26" s="46" t="n">
        <v>18000</v>
      </c>
      <c r="J26" s="46" t="n">
        <v>18000</v>
      </c>
      <c r="K26" s="46" t="n">
        <v>18000</v>
      </c>
      <c r="L26" s="46" t="n">
        <v>18000</v>
      </c>
      <c r="M26" s="46" t="n">
        <v>20300</v>
      </c>
      <c r="N26" s="46" t="n">
        <v>20300</v>
      </c>
      <c r="P26" s="25" t="n">
        <f aca="false">C26</f>
        <v>0</v>
      </c>
      <c r="Q26" s="25" t="n">
        <f aca="false">D26-C26</f>
        <v>0</v>
      </c>
      <c r="R26" s="25" t="n">
        <f aca="false">E26-D26</f>
        <v>0</v>
      </c>
      <c r="S26" s="25" t="n">
        <f aca="false">F26-E26</f>
        <v>18000</v>
      </c>
      <c r="T26" s="25" t="n">
        <f aca="false">G26-F26</f>
        <v>0</v>
      </c>
      <c r="U26" s="25" t="n">
        <f aca="false">H26-G26</f>
        <v>0</v>
      </c>
      <c r="V26" s="25" t="n">
        <f aca="false">I26-H26</f>
        <v>0</v>
      </c>
      <c r="W26" s="25" t="n">
        <f aca="false">J26-I26</f>
        <v>0</v>
      </c>
      <c r="X26" s="25" t="n">
        <f aca="false">K26-J26</f>
        <v>0</v>
      </c>
      <c r="Y26" s="25" t="n">
        <f aca="false">L26-K26</f>
        <v>0</v>
      </c>
      <c r="Z26" s="25" t="n">
        <f aca="false">M26-L26</f>
        <v>2300</v>
      </c>
      <c r="AA26" s="25" t="n">
        <f aca="false">N26-M26</f>
        <v>0</v>
      </c>
    </row>
    <row r="27" customFormat="false" ht="15" hidden="false" customHeight="false" outlineLevel="0" collapsed="false">
      <c r="A27" s="8" t="s">
        <v>160</v>
      </c>
      <c r="C27" s="46" t="n">
        <v>0</v>
      </c>
      <c r="D27" s="46" t="n">
        <v>0</v>
      </c>
      <c r="E27" s="46" t="n">
        <v>0</v>
      </c>
      <c r="F27" s="46" t="n">
        <v>10000</v>
      </c>
      <c r="G27" s="46" t="n">
        <v>10000</v>
      </c>
      <c r="H27" s="46" t="n">
        <v>10000</v>
      </c>
      <c r="I27" s="46" t="n">
        <v>10000</v>
      </c>
      <c r="J27" s="46" t="n">
        <v>10000</v>
      </c>
      <c r="K27" s="46" t="n">
        <v>10000</v>
      </c>
      <c r="L27" s="46" t="n">
        <v>10000</v>
      </c>
      <c r="M27" s="46" t="n">
        <v>10000</v>
      </c>
      <c r="N27" s="46" t="n">
        <v>10000</v>
      </c>
      <c r="P27" s="25" t="n">
        <f aca="false">C27</f>
        <v>0</v>
      </c>
      <c r="Q27" s="25" t="n">
        <f aca="false">D27-C27</f>
        <v>0</v>
      </c>
      <c r="R27" s="25" t="n">
        <f aca="false">E27-D27</f>
        <v>0</v>
      </c>
      <c r="S27" s="25" t="n">
        <f aca="false">F27-E27</f>
        <v>10000</v>
      </c>
      <c r="T27" s="25" t="n">
        <f aca="false">G27-F27</f>
        <v>0</v>
      </c>
      <c r="U27" s="25" t="n">
        <f aca="false">H27-G27</f>
        <v>0</v>
      </c>
      <c r="V27" s="25" t="n">
        <f aca="false">I27-H27</f>
        <v>0</v>
      </c>
      <c r="W27" s="25" t="n">
        <f aca="false">J27-I27</f>
        <v>0</v>
      </c>
      <c r="X27" s="25" t="n">
        <f aca="false">K27-J27</f>
        <v>0</v>
      </c>
      <c r="Y27" s="25" t="n">
        <f aca="false">L27-K27</f>
        <v>0</v>
      </c>
      <c r="Z27" s="25" t="n">
        <f aca="false">M27-L27</f>
        <v>0</v>
      </c>
      <c r="AA27" s="25" t="n">
        <f aca="false">N27-M27</f>
        <v>0</v>
      </c>
    </row>
    <row r="28" customFormat="false" ht="15" hidden="false" customHeight="false" outlineLevel="0" collapsed="false">
      <c r="A28" s="8" t="s">
        <v>397</v>
      </c>
      <c r="C28" s="46" t="n">
        <v>166800</v>
      </c>
      <c r="D28" s="46" t="n">
        <v>333600</v>
      </c>
      <c r="E28" s="46" t="n">
        <v>500400</v>
      </c>
      <c r="F28" s="46" t="n">
        <v>667200</v>
      </c>
      <c r="G28" s="46" t="n">
        <v>834000</v>
      </c>
      <c r="H28" s="46" t="n">
        <v>1000800</v>
      </c>
      <c r="I28" s="46" t="n">
        <v>1167600</v>
      </c>
      <c r="J28" s="46" t="n">
        <v>1334400</v>
      </c>
      <c r="K28" s="46" t="n">
        <v>1501200</v>
      </c>
      <c r="L28" s="46" t="n">
        <v>1668000</v>
      </c>
      <c r="M28" s="46" t="n">
        <v>1668000</v>
      </c>
      <c r="N28" s="46" t="n">
        <v>1668000</v>
      </c>
      <c r="P28" s="25" t="n">
        <f aca="false">C28</f>
        <v>166800</v>
      </c>
      <c r="Q28" s="25" t="n">
        <f aca="false">D28-C28</f>
        <v>166800</v>
      </c>
      <c r="R28" s="25" t="n">
        <f aca="false">E28-D28</f>
        <v>166800</v>
      </c>
      <c r="S28" s="25" t="n">
        <f aca="false">F28-E28</f>
        <v>166800</v>
      </c>
      <c r="T28" s="25" t="n">
        <f aca="false">G28-F28</f>
        <v>166800</v>
      </c>
      <c r="U28" s="25" t="n">
        <f aca="false">H28-G28</f>
        <v>166800</v>
      </c>
      <c r="V28" s="25" t="n">
        <f aca="false">I28-H28</f>
        <v>166800</v>
      </c>
      <c r="W28" s="25" t="n">
        <f aca="false">J28-I28</f>
        <v>166800</v>
      </c>
      <c r="X28" s="25" t="n">
        <f aca="false">K28-J28</f>
        <v>166800</v>
      </c>
      <c r="Y28" s="25" t="n">
        <f aca="false">L28-K28</f>
        <v>166800</v>
      </c>
      <c r="Z28" s="25" t="n">
        <f aca="false">M28-L28</f>
        <v>0</v>
      </c>
      <c r="AA28" s="25" t="n">
        <f aca="false">N28-M28</f>
        <v>0</v>
      </c>
    </row>
    <row r="29" customFormat="false" ht="15" hidden="false" customHeight="false" outlineLevel="0" collapsed="false">
      <c r="A29" s="8" t="s">
        <v>398</v>
      </c>
      <c r="C29" s="46" t="n">
        <v>4468174</v>
      </c>
      <c r="D29" s="46" t="n">
        <v>10248856</v>
      </c>
      <c r="E29" s="46" t="n">
        <v>16768939</v>
      </c>
      <c r="F29" s="46" t="n">
        <v>21656685</v>
      </c>
      <c r="G29" s="46" t="n">
        <v>26291758</v>
      </c>
      <c r="H29" s="46" t="n">
        <v>31091395</v>
      </c>
      <c r="I29" s="46" t="n">
        <v>40895518</v>
      </c>
      <c r="J29" s="46" t="n">
        <v>46861893</v>
      </c>
      <c r="K29" s="46" t="n">
        <v>59860090</v>
      </c>
      <c r="L29" s="46" t="n">
        <v>66477031</v>
      </c>
      <c r="M29" s="46" t="n">
        <v>71083353</v>
      </c>
      <c r="N29" s="46" t="n">
        <v>80446258</v>
      </c>
      <c r="P29" s="25" t="n">
        <f aca="false">C29</f>
        <v>4468174</v>
      </c>
      <c r="Q29" s="25" t="n">
        <f aca="false">D29-C29</f>
        <v>5780682</v>
      </c>
      <c r="R29" s="25" t="n">
        <f aca="false">E29-D29</f>
        <v>6520083</v>
      </c>
      <c r="S29" s="25" t="n">
        <f aca="false">F29-E29</f>
        <v>4887746</v>
      </c>
      <c r="T29" s="25" t="n">
        <f aca="false">G29-F29</f>
        <v>4635073</v>
      </c>
      <c r="U29" s="25" t="n">
        <f aca="false">H29-G29</f>
        <v>4799637</v>
      </c>
      <c r="V29" s="25" t="n">
        <f aca="false">I29-H29</f>
        <v>9804123</v>
      </c>
      <c r="W29" s="25" t="n">
        <f aca="false">J29-I29</f>
        <v>5966375</v>
      </c>
      <c r="X29" s="25" t="n">
        <f aca="false">K29-J29</f>
        <v>12998197</v>
      </c>
      <c r="Y29" s="25" t="n">
        <f aca="false">L29-K29</f>
        <v>6616941</v>
      </c>
      <c r="Z29" s="25" t="n">
        <f aca="false">M29-L29</f>
        <v>4606322</v>
      </c>
      <c r="AA29" s="25" t="n">
        <f aca="false">N29-M29</f>
        <v>9362905</v>
      </c>
    </row>
    <row r="30" customFormat="false" ht="15" hidden="false" customHeight="false" outlineLevel="0" collapsed="false">
      <c r="A30" s="79" t="s">
        <v>399</v>
      </c>
      <c r="C30" s="80" t="n">
        <f aca="false">SUM(C9:C28)-C29</f>
        <v>0</v>
      </c>
      <c r="D30" s="80" t="n">
        <f aca="false">SUM(D9:D28)-D29</f>
        <v>0</v>
      </c>
      <c r="E30" s="80" t="n">
        <f aca="false">SUM(E9:E28)-E29</f>
        <v>0</v>
      </c>
      <c r="F30" s="80" t="n">
        <f aca="false">SUM(F9:F28)-F29</f>
        <v>0</v>
      </c>
      <c r="G30" s="80" t="n">
        <f aca="false">SUM(G9:G28)-G29</f>
        <v>0</v>
      </c>
      <c r="H30" s="80" t="n">
        <f aca="false">SUM(H9:H28)-H29</f>
        <v>0</v>
      </c>
      <c r="I30" s="80" t="n">
        <f aca="false">SUM(I9:I28)-I29</f>
        <v>0</v>
      </c>
      <c r="J30" s="80" t="n">
        <f aca="false">SUM(J9:J28)-J29</f>
        <v>0</v>
      </c>
      <c r="K30" s="80" t="n">
        <f aca="false">SUM(K9:K28)-K29</f>
        <v>0</v>
      </c>
      <c r="L30" s="80" t="n">
        <f aca="false">SUM(L9:L28)-L29</f>
        <v>0</v>
      </c>
      <c r="M30" s="80" t="n">
        <f aca="false">SUM(M9:M28)-M29</f>
        <v>0</v>
      </c>
      <c r="N30" s="80" t="n">
        <f aca="false">SUM(N9:N28)-N29</f>
        <v>0</v>
      </c>
      <c r="P30" s="80" t="n">
        <f aca="false">SUM(P9:P28)-P29</f>
        <v>0</v>
      </c>
      <c r="Q30" s="80" t="n">
        <f aca="false">SUM(Q9:Q28)-Q29</f>
        <v>0</v>
      </c>
      <c r="R30" s="80" t="n">
        <f aca="false">SUM(R9:R28)-R29</f>
        <v>0</v>
      </c>
      <c r="S30" s="80" t="n">
        <f aca="false">SUM(S9:S28)-S29</f>
        <v>0</v>
      </c>
      <c r="T30" s="80" t="n">
        <f aca="false">SUM(T9:T28)-T29</f>
        <v>0</v>
      </c>
      <c r="U30" s="80" t="n">
        <f aca="false">SUM(U9:U28)-U29</f>
        <v>0</v>
      </c>
      <c r="V30" s="80" t="n">
        <f aca="false">SUM(V9:V28)-V29</f>
        <v>0</v>
      </c>
      <c r="W30" s="80" t="n">
        <f aca="false">SUM(W9:W28)-W29</f>
        <v>0</v>
      </c>
      <c r="X30" s="80" t="n">
        <f aca="false">SUM(X9:X28)-X29</f>
        <v>0</v>
      </c>
      <c r="Y30" s="80" t="n">
        <f aca="false">SUM(Y9:Y28)-Y29</f>
        <v>0</v>
      </c>
      <c r="Z30" s="80" t="n">
        <f aca="false">SUM(Z9:Z28)-Z29</f>
        <v>0</v>
      </c>
      <c r="AA30" s="80" t="n">
        <f aca="false">SUM(AA9:AA28)-AA29</f>
        <v>0</v>
      </c>
    </row>
    <row r="33" customFormat="false" ht="15" hidden="false" customHeight="false" outlineLevel="0" collapsed="false">
      <c r="A33" s="51" t="s">
        <v>400</v>
      </c>
    </row>
    <row r="34" customFormat="false" ht="15" hidden="false" customHeight="false" outlineLevel="0" collapsed="false">
      <c r="A34" s="5" t="s">
        <v>401</v>
      </c>
      <c r="C34" s="78" t="s">
        <v>75</v>
      </c>
      <c r="D34" s="78" t="s">
        <v>76</v>
      </c>
      <c r="E34" s="78" t="s">
        <v>77</v>
      </c>
      <c r="F34" s="78" t="s">
        <v>78</v>
      </c>
      <c r="G34" s="78" t="s">
        <v>79</v>
      </c>
      <c r="H34" s="78" t="s">
        <v>80</v>
      </c>
      <c r="I34" s="78" t="s">
        <v>81</v>
      </c>
      <c r="J34" s="78" t="s">
        <v>82</v>
      </c>
      <c r="K34" s="78" t="s">
        <v>83</v>
      </c>
      <c r="L34" s="78" t="s">
        <v>84</v>
      </c>
      <c r="M34" s="78" t="s">
        <v>85</v>
      </c>
      <c r="N34" s="78" t="s">
        <v>86</v>
      </c>
    </row>
    <row r="35" customFormat="false" ht="15" hidden="false" customHeight="false" outlineLevel="0" collapsed="false">
      <c r="A35" s="8" t="s">
        <v>402</v>
      </c>
      <c r="C35" s="46" t="n">
        <v>117605905</v>
      </c>
      <c r="D35" s="46" t="n">
        <v>153924696</v>
      </c>
      <c r="E35" s="46" t="n">
        <v>193632544</v>
      </c>
      <c r="F35" s="46" t="n">
        <v>211943443</v>
      </c>
      <c r="G35" s="46" t="n">
        <v>212439933</v>
      </c>
      <c r="H35" s="46" t="n">
        <v>215208179</v>
      </c>
      <c r="I35" s="46" t="n">
        <v>210496736</v>
      </c>
      <c r="J35" s="46" t="n">
        <v>235588670</v>
      </c>
      <c r="K35" s="46" t="n">
        <v>228363600</v>
      </c>
      <c r="L35" s="46" t="n">
        <v>218394670</v>
      </c>
      <c r="M35" s="46" t="n">
        <v>215303200</v>
      </c>
      <c r="N35" s="46" t="n">
        <v>196813496</v>
      </c>
    </row>
    <row r="36" customFormat="false" ht="15" hidden="false" customHeight="false" outlineLevel="0" collapsed="false">
      <c r="A36" s="8" t="s">
        <v>403</v>
      </c>
      <c r="C36" s="46" t="n">
        <v>194315770</v>
      </c>
      <c r="D36" s="46" t="n">
        <v>210241731</v>
      </c>
      <c r="E36" s="46" t="n">
        <v>209040302</v>
      </c>
      <c r="F36" s="46" t="n">
        <v>207397677</v>
      </c>
      <c r="G36" s="46" t="n">
        <v>207028738</v>
      </c>
      <c r="H36" s="46" t="n">
        <v>217316212</v>
      </c>
      <c r="I36" s="46" t="n">
        <v>164617380</v>
      </c>
      <c r="J36" s="46" t="n">
        <v>159086521</v>
      </c>
      <c r="K36" s="46" t="n">
        <v>149819904</v>
      </c>
      <c r="L36" s="46" t="n">
        <v>138952867</v>
      </c>
      <c r="M36" s="46" t="n">
        <v>134547396</v>
      </c>
      <c r="N36" s="46" t="n">
        <v>112635095</v>
      </c>
    </row>
    <row r="37" customFormat="false" ht="15" hidden="false" customHeight="false" outlineLevel="0" collapsed="false">
      <c r="A37" s="8" t="s">
        <v>404</v>
      </c>
      <c r="C37" s="46" t="n">
        <v>203406019</v>
      </c>
      <c r="D37" s="46" t="n">
        <v>203310852</v>
      </c>
      <c r="E37" s="46" t="n">
        <v>165051323</v>
      </c>
      <c r="F37" s="46" t="n">
        <v>158615543</v>
      </c>
      <c r="G37" s="46" t="n">
        <v>132414824</v>
      </c>
      <c r="H37" s="46" t="n">
        <v>137505588</v>
      </c>
      <c r="I37" s="46" t="n">
        <v>141366548</v>
      </c>
      <c r="J37" s="46" t="n">
        <v>138136071</v>
      </c>
      <c r="K37" s="46" t="n">
        <v>126713763</v>
      </c>
      <c r="L37" s="46" t="n">
        <v>110696581</v>
      </c>
      <c r="M37" s="46" t="n">
        <v>112494414</v>
      </c>
      <c r="N37" s="46" t="n">
        <v>122419789</v>
      </c>
    </row>
    <row r="38" customFormat="false" ht="15" hidden="false" customHeight="false" outlineLevel="0" collapsed="false">
      <c r="A38" s="8" t="s">
        <v>405</v>
      </c>
      <c r="C38" s="46" t="n">
        <v>122156452</v>
      </c>
      <c r="D38" s="46" t="n">
        <v>119724005</v>
      </c>
      <c r="E38" s="46" t="n">
        <v>118857258</v>
      </c>
      <c r="F38" s="46" t="n">
        <v>114964571</v>
      </c>
      <c r="G38" s="46" t="n">
        <v>113618547</v>
      </c>
      <c r="H38" s="46" t="n">
        <v>164353319</v>
      </c>
      <c r="I38" s="46" t="n">
        <v>144013260</v>
      </c>
      <c r="J38" s="46" t="n">
        <v>139822640</v>
      </c>
      <c r="K38" s="46" t="n">
        <v>129332969</v>
      </c>
      <c r="L38" s="46" t="n">
        <v>176629765</v>
      </c>
      <c r="M38" s="46" t="n">
        <v>211301042</v>
      </c>
      <c r="N38" s="46" t="n">
        <v>207939447</v>
      </c>
    </row>
    <row r="40" customFormat="false" ht="15" hidden="false" customHeight="false" outlineLevel="0" collapsed="false">
      <c r="A40" s="5" t="s">
        <v>406</v>
      </c>
      <c r="C40" s="78" t="s">
        <v>75</v>
      </c>
      <c r="D40" s="78" t="s">
        <v>76</v>
      </c>
      <c r="E40" s="78" t="s">
        <v>77</v>
      </c>
      <c r="F40" s="78" t="s">
        <v>78</v>
      </c>
      <c r="G40" s="78" t="s">
        <v>79</v>
      </c>
      <c r="H40" s="78" t="s">
        <v>80</v>
      </c>
      <c r="I40" s="78" t="s">
        <v>81</v>
      </c>
      <c r="J40" s="78" t="s">
        <v>82</v>
      </c>
      <c r="K40" s="78" t="s">
        <v>83</v>
      </c>
      <c r="L40" s="78" t="s">
        <v>84</v>
      </c>
      <c r="M40" s="78" t="s">
        <v>85</v>
      </c>
      <c r="N40" s="78" t="s">
        <v>86</v>
      </c>
    </row>
    <row r="41" customFormat="false" ht="15" hidden="false" customHeight="false" outlineLevel="0" collapsed="false">
      <c r="A41" s="8" t="s">
        <v>402</v>
      </c>
      <c r="C41" s="46" t="n">
        <v>4526228</v>
      </c>
      <c r="D41" s="46" t="n">
        <v>4491718</v>
      </c>
      <c r="E41" s="46" t="n">
        <v>4885971</v>
      </c>
      <c r="F41" s="46" t="n">
        <v>4502081</v>
      </c>
      <c r="G41" s="46" t="n">
        <v>3748020</v>
      </c>
      <c r="H41" s="46" t="n">
        <v>4567056</v>
      </c>
      <c r="I41" s="46" t="n">
        <v>4226963</v>
      </c>
      <c r="J41" s="46" t="n">
        <v>4566603</v>
      </c>
      <c r="K41" s="46" t="n">
        <v>5128035</v>
      </c>
      <c r="L41" s="46" t="n">
        <v>4431206</v>
      </c>
      <c r="M41" s="46" t="n">
        <v>3177167</v>
      </c>
      <c r="N41" s="46" t="n">
        <v>7632065</v>
      </c>
    </row>
    <row r="42" customFormat="false" ht="15" hidden="false" customHeight="false" outlineLevel="0" collapsed="false">
      <c r="A42" s="8" t="s">
        <v>403</v>
      </c>
      <c r="C42" s="46" t="n">
        <v>3568995</v>
      </c>
      <c r="D42" s="46" t="n">
        <v>2982519</v>
      </c>
      <c r="E42" s="46" t="n">
        <v>3539127</v>
      </c>
      <c r="F42" s="46" t="n">
        <v>3442139</v>
      </c>
      <c r="G42" s="46" t="n">
        <v>5112422</v>
      </c>
      <c r="H42" s="46" t="n">
        <v>4057457</v>
      </c>
      <c r="I42" s="46" t="n">
        <v>4359364</v>
      </c>
      <c r="J42" s="46" t="n">
        <v>3312630</v>
      </c>
      <c r="K42" s="46" t="n">
        <v>4441632</v>
      </c>
      <c r="L42" s="46" t="n">
        <v>4330181</v>
      </c>
      <c r="M42" s="46" t="n">
        <v>3420777</v>
      </c>
      <c r="N42" s="46" t="n">
        <v>3880873</v>
      </c>
    </row>
    <row r="43" customFormat="false" ht="15" hidden="false" customHeight="false" outlineLevel="0" collapsed="false">
      <c r="A43" s="8" t="s">
        <v>404</v>
      </c>
      <c r="C43" s="46" t="n">
        <v>3859635</v>
      </c>
      <c r="D43" s="46" t="n">
        <v>3722648</v>
      </c>
      <c r="E43" s="46" t="n">
        <v>4363808</v>
      </c>
      <c r="F43" s="46" t="n">
        <v>4074287</v>
      </c>
      <c r="G43" s="46" t="n">
        <v>3393648</v>
      </c>
      <c r="H43" s="46" t="n">
        <v>4418167</v>
      </c>
      <c r="I43" s="46" t="n">
        <v>3522485</v>
      </c>
      <c r="J43" s="46" t="n">
        <v>3731531</v>
      </c>
      <c r="K43" s="46" t="n">
        <v>4537984</v>
      </c>
      <c r="L43" s="46" t="n">
        <v>3922121</v>
      </c>
      <c r="M43" s="46" t="n">
        <v>3891538</v>
      </c>
      <c r="N43" s="46" t="n">
        <v>5518338</v>
      </c>
    </row>
    <row r="44" customFormat="false" ht="15" hidden="false" customHeight="false" outlineLevel="0" collapsed="false">
      <c r="A44" s="8" t="s">
        <v>405</v>
      </c>
      <c r="C44" s="46" t="n">
        <v>4088247</v>
      </c>
      <c r="D44" s="46" t="n">
        <v>3562426</v>
      </c>
      <c r="E44" s="46" t="n">
        <v>4902436</v>
      </c>
      <c r="F44" s="46" t="n">
        <v>3385779</v>
      </c>
      <c r="G44" s="46" t="n">
        <v>2847927</v>
      </c>
      <c r="H44" s="46" t="n">
        <v>6101404</v>
      </c>
      <c r="I44" s="46" t="n">
        <v>4324480</v>
      </c>
      <c r="J44" s="46" t="n">
        <v>3879319</v>
      </c>
      <c r="K44" s="46" t="n">
        <v>5697446</v>
      </c>
      <c r="L44" s="46" t="n">
        <v>4067190</v>
      </c>
      <c r="M44" s="46" t="n">
        <v>2974132</v>
      </c>
      <c r="N44" s="46" t="n">
        <v>2687623</v>
      </c>
    </row>
    <row r="46" customFormat="false" ht="15" hidden="false" customHeight="false" outlineLevel="0" collapsed="false">
      <c r="A46" s="5" t="s">
        <v>407</v>
      </c>
      <c r="C46" s="78" t="s">
        <v>75</v>
      </c>
      <c r="D46" s="78" t="s">
        <v>76</v>
      </c>
      <c r="E46" s="78" t="s">
        <v>77</v>
      </c>
      <c r="F46" s="78" t="s">
        <v>78</v>
      </c>
      <c r="G46" s="78" t="s">
        <v>79</v>
      </c>
      <c r="H46" s="78" t="s">
        <v>80</v>
      </c>
      <c r="I46" s="78" t="s">
        <v>81</v>
      </c>
      <c r="J46" s="78" t="s">
        <v>82</v>
      </c>
      <c r="K46" s="78" t="s">
        <v>83</v>
      </c>
      <c r="L46" s="78" t="s">
        <v>84</v>
      </c>
      <c r="M46" s="78" t="s">
        <v>85</v>
      </c>
      <c r="N46" s="78" t="s">
        <v>86</v>
      </c>
    </row>
    <row r="47" customFormat="false" ht="15" hidden="false" customHeight="false" outlineLevel="0" collapsed="false">
      <c r="A47" s="8" t="s">
        <v>402</v>
      </c>
      <c r="C47" s="46" t="n">
        <v>3730822</v>
      </c>
      <c r="D47" s="46" t="n">
        <v>5751241</v>
      </c>
      <c r="E47" s="46" t="n">
        <v>5463383</v>
      </c>
      <c r="F47" s="46" t="n">
        <v>8738899</v>
      </c>
      <c r="G47" s="46" t="n">
        <v>4620849</v>
      </c>
      <c r="H47" s="46" t="n">
        <v>4264997</v>
      </c>
      <c r="I47" s="46" t="n">
        <v>9373198</v>
      </c>
      <c r="J47" s="46" t="n">
        <v>7304313</v>
      </c>
      <c r="K47" s="46" t="n">
        <v>14354570</v>
      </c>
      <c r="L47" s="46" t="n">
        <v>13715674</v>
      </c>
      <c r="M47" s="46" t="n">
        <v>6879925</v>
      </c>
      <c r="N47" s="46" t="n">
        <v>-5633204</v>
      </c>
    </row>
    <row r="48" customFormat="false" ht="15" hidden="false" customHeight="false" outlineLevel="0" collapsed="false">
      <c r="A48" s="8" t="s">
        <v>403</v>
      </c>
      <c r="C48" s="46" t="n">
        <v>8362903</v>
      </c>
      <c r="D48" s="46" t="n">
        <v>3626242</v>
      </c>
      <c r="E48" s="46" t="n">
        <v>5413639</v>
      </c>
      <c r="F48" s="46" t="n">
        <v>4351584</v>
      </c>
      <c r="G48" s="46" t="n">
        <v>4194159</v>
      </c>
      <c r="H48" s="46" t="n">
        <v>3406758</v>
      </c>
      <c r="I48" s="46" t="n">
        <v>9202277</v>
      </c>
      <c r="J48" s="46" t="n">
        <v>6702667</v>
      </c>
      <c r="K48" s="46" t="n">
        <v>11713388</v>
      </c>
      <c r="L48" s="46" t="n">
        <v>9211827</v>
      </c>
      <c r="M48" s="46" t="n">
        <v>4959421</v>
      </c>
      <c r="N48" s="46" t="n">
        <v>-101126</v>
      </c>
    </row>
    <row r="49" customFormat="false" ht="15" hidden="false" customHeight="false" outlineLevel="0" collapsed="false">
      <c r="A49" s="8" t="s">
        <v>404</v>
      </c>
      <c r="C49" s="46" t="n">
        <v>3323746</v>
      </c>
      <c r="D49" s="46" t="n">
        <v>4678574</v>
      </c>
      <c r="E49" s="46" t="n">
        <v>5586526</v>
      </c>
      <c r="F49" s="46" t="n">
        <v>4896649</v>
      </c>
      <c r="G49" s="46" t="n">
        <v>4951562</v>
      </c>
      <c r="H49" s="46" t="n">
        <v>4734892</v>
      </c>
      <c r="I49" s="46" t="n">
        <v>10014533</v>
      </c>
      <c r="J49" s="46" t="n">
        <v>6099776</v>
      </c>
      <c r="K49" s="46" t="n">
        <v>13590835</v>
      </c>
      <c r="L49" s="46" t="n">
        <v>14354967</v>
      </c>
      <c r="M49" s="46" t="n">
        <v>1947306</v>
      </c>
      <c r="N49" s="46" t="n">
        <v>6960491</v>
      </c>
    </row>
    <row r="50" customFormat="false" ht="15" hidden="false" customHeight="false" outlineLevel="0" collapsed="false">
      <c r="A50" s="8" t="s">
        <v>405</v>
      </c>
      <c r="C50" s="46" t="n">
        <v>4468174</v>
      </c>
      <c r="D50" s="46" t="n">
        <v>5780682</v>
      </c>
      <c r="E50" s="46" t="n">
        <v>6520083</v>
      </c>
      <c r="F50" s="46" t="n">
        <v>4887746</v>
      </c>
      <c r="G50" s="46" t="n">
        <v>4635073</v>
      </c>
      <c r="H50" s="46" t="n">
        <v>4799637</v>
      </c>
      <c r="I50" s="46" t="n">
        <v>9804123</v>
      </c>
      <c r="J50" s="46" t="n">
        <v>5966375</v>
      </c>
      <c r="K50" s="46" t="n">
        <v>12998197</v>
      </c>
      <c r="L50" s="46" t="n">
        <v>6616941</v>
      </c>
      <c r="M50" s="46" t="n">
        <v>4606322</v>
      </c>
      <c r="N50" s="46" t="n">
        <v>9362905</v>
      </c>
    </row>
    <row r="52" customFormat="false" ht="15" hidden="false" customHeight="false" outlineLevel="0" collapsed="false">
      <c r="A52" s="81" t="s">
        <v>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2026-10-27T04:55:28Z</dcterms:created>
  <dc:creator>openpyxl</dc:creator>
  <dc:description/>
  <dc:language>en-US</dc:language>
  <cp:lastModifiedBy/>
  <dcterms:modified xsi:type="dcterms:W3CDTF">2026-10-27T04:55:35Z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