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サマリー" sheetId="1" state="visible" r:id="rId3"/>
    <sheet name="前提" sheetId="2" state="visible" r:id="rId4"/>
    <sheet name="資金繰り表" sheetId="3" state="visible" r:id="rId5"/>
    <sheet name="経費内訳" sheetId="4" state="visible" r:id="rId6"/>
    <sheet name="家賃明細" sheetId="5" state="visible" r:id="rId7"/>
    <sheet name="社債検討" sheetId="6" state="visible" r:id="rId8"/>
    <sheet name="実績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<sst xmlns="http://schemas.openxmlformats.org/spreadsheetml/2006/main" count="331" uniqueCount="261">
  <si>
    <r>
      <rPr>
        <b val="true"/>
        <sz val="14"/>
        <color rgb="FF000000"/>
        <rFont val="WenQuanYi Zen Hei"/>
        <family val="2"/>
      </rPr>
      <t xml:space="preserve">令和</t>
    </r>
    <r>
      <rPr>
        <b val="true"/>
        <sz val="14"/>
        <color rgb="FF000000"/>
        <rFont val="Arial"/>
        <family val="0"/>
        <charset val="1"/>
      </rPr>
      <t xml:space="preserve">9</t>
    </r>
    <r>
      <rPr>
        <b val="true"/>
        <sz val="14"/>
        <color rgb="FF000000"/>
        <rFont val="WenQuanYi Zen Hei"/>
        <family val="2"/>
      </rPr>
      <t xml:space="preserve">年度 資金繰り検討サマリー</t>
    </r>
    <r>
      <rPr>
        <b val="true"/>
        <sz val="14"/>
        <color rgb="FF000000"/>
        <rFont val="Arial"/>
        <family val="0"/>
        <charset val="1"/>
      </rPr>
      <t xml:space="preserve">(</t>
    </r>
    <r>
      <rPr>
        <b val="true"/>
        <sz val="14"/>
        <color rgb="FF000000"/>
        <rFont val="WenQuanYi Zen Hei"/>
        <family val="2"/>
      </rPr>
      <t xml:space="preserve">株式会社旭土地建物</t>
    </r>
    <r>
      <rPr>
        <b val="true"/>
        <sz val="14"/>
        <color rgb="FF000000"/>
        <rFont val="Arial"/>
        <family val="0"/>
        <charset val="1"/>
      </rPr>
      <t xml:space="preserve">)</t>
    </r>
  </si>
  <si>
    <r>
      <rPr>
        <i val="true"/>
        <sz val="10"/>
        <color rgb="FF595959"/>
        <rFont val="WenQuanYi Zen Hei"/>
        <family val="2"/>
      </rPr>
      <t xml:space="preserve">作成日 </t>
    </r>
    <r>
      <rPr>
        <i val="true"/>
        <sz val="10"/>
        <color rgb="FF595959"/>
        <rFont val="Arial"/>
        <family val="0"/>
        <charset val="1"/>
      </rPr>
      <t xml:space="preserve">2026/10/27 </t>
    </r>
    <r>
      <rPr>
        <i val="true"/>
        <sz val="10"/>
        <color rgb="FF595959"/>
        <rFont val="WenQuanYi Zen Hei"/>
        <family val="2"/>
      </rPr>
      <t xml:space="preserve">・ 基礎資料</t>
    </r>
    <r>
      <rPr>
        <i val="true"/>
        <sz val="10"/>
        <color rgb="FF595959"/>
        <rFont val="Arial"/>
        <family val="0"/>
        <charset val="1"/>
      </rPr>
      <t xml:space="preserve">: </t>
    </r>
    <r>
      <rPr>
        <i val="true"/>
        <sz val="10"/>
        <color rgb="FF595959"/>
        <rFont val="WenQuanYi Zen Hei"/>
        <family val="2"/>
      </rPr>
      <t xml:space="preserve">令和</t>
    </r>
    <r>
      <rPr>
        <i val="true"/>
        <sz val="10"/>
        <color rgb="FF595959"/>
        <rFont val="Arial"/>
        <family val="0"/>
        <charset val="1"/>
      </rPr>
      <t xml:space="preserve">5</t>
    </r>
    <r>
      <rPr>
        <i val="true"/>
        <sz val="10"/>
        <color rgb="FF595959"/>
        <rFont val="WenQuanYi Zen Hei"/>
        <family val="2"/>
      </rPr>
      <t xml:space="preserve">〜</t>
    </r>
    <r>
      <rPr>
        <i val="true"/>
        <sz val="10"/>
        <color rgb="FF595959"/>
        <rFont val="Arial"/>
        <family val="0"/>
        <charset val="1"/>
      </rPr>
      <t xml:space="preserve">8</t>
    </r>
    <r>
      <rPr>
        <i val="true"/>
        <sz val="10"/>
        <color rgb="FF595959"/>
        <rFont val="WenQuanYi Zen Hei"/>
        <family val="2"/>
      </rPr>
      <t xml:space="preserve">年度 勘定科目残高推移表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WenQuanYi Zen Hei"/>
        <family val="2"/>
      </rPr>
      <t xml:space="preserve">各年度</t>
    </r>
    <r>
      <rPr>
        <i val="true"/>
        <sz val="10"/>
        <color rgb="FF595959"/>
        <rFont val="Arial"/>
        <family val="0"/>
        <charset val="1"/>
      </rPr>
      <t xml:space="preserve">4</t>
    </r>
    <r>
      <rPr>
        <i val="true"/>
        <sz val="10"/>
        <color rgb="FF595959"/>
        <rFont val="WenQuanYi Zen Hei"/>
        <family val="2"/>
      </rPr>
      <t xml:space="preserve">〜</t>
    </r>
    <r>
      <rPr>
        <i val="true"/>
        <sz val="10"/>
        <color rgb="FF595959"/>
        <rFont val="Arial"/>
        <family val="0"/>
        <charset val="1"/>
      </rPr>
      <t xml:space="preserve">9</t>
    </r>
    <r>
      <rPr>
        <i val="true"/>
        <sz val="10"/>
        <color rgb="FF595959"/>
        <rFont val="WenQuanYi Zen Hei"/>
        <family val="2"/>
      </rPr>
      <t xml:space="preserve">月</t>
    </r>
    <r>
      <rPr>
        <i val="true"/>
        <sz val="10"/>
        <color rgb="FF595959"/>
        <rFont val="Arial"/>
        <family val="0"/>
        <charset val="1"/>
      </rPr>
      <t xml:space="preserve">) </t>
    </r>
    <r>
      <rPr>
        <i val="true"/>
        <sz val="10"/>
        <color rgb="FF595959"/>
        <rFont val="WenQuanYi Zen Hei"/>
        <family val="2"/>
      </rPr>
      <t xml:space="preserve">・ 単位</t>
    </r>
    <r>
      <rPr>
        <i val="true"/>
        <sz val="10"/>
        <color rgb="FF595959"/>
        <rFont val="Arial"/>
        <family val="0"/>
        <charset val="1"/>
      </rPr>
      <t xml:space="preserve">: </t>
    </r>
    <r>
      <rPr>
        <i val="true"/>
        <sz val="10"/>
        <color rgb="FF595959"/>
        <rFont val="WenQuanYi Zen Hei"/>
        <family val="2"/>
      </rPr>
      <t xml:space="preserve">千円</t>
    </r>
  </si>
  <si>
    <t xml:space="preserve">主要指標</t>
  </si>
  <si>
    <r>
      <rPr>
        <b val="true"/>
        <sz val="10"/>
        <color rgb="FF000000"/>
        <rFont val="WenQuanYi Zen Hei"/>
        <family val="2"/>
      </rPr>
      <t xml:space="preserve">グラフ用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月次残高</t>
    </r>
    <r>
      <rPr>
        <b val="true"/>
        <sz val="10"/>
        <color rgb="FF000000"/>
        <rFont val="Arial"/>
        <family val="0"/>
        <charset val="1"/>
      </rPr>
      <t xml:space="preserve">)</t>
    </r>
  </si>
  <si>
    <t xml:space="preserve">社債なし</t>
  </si>
  <si>
    <t xml:space="preserve">社債あり</t>
  </si>
  <si>
    <t xml:space="preserve">差額</t>
  </si>
  <si>
    <t xml:space="preserve">月</t>
  </si>
  <si>
    <r>
      <rPr>
        <sz val="10"/>
        <color rgb="FF000000"/>
        <rFont val="WenQuanYi Zen Hei"/>
        <family val="2"/>
      </rPr>
      <t xml:space="preserve">現預金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令和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月末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</si>
  <si>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令和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月 期首残高</t>
    </r>
  </si>
  <si>
    <r>
      <rPr>
        <sz val="10"/>
        <color rgb="FF000000"/>
        <rFont val="WenQuanYi Zen Hei"/>
        <family val="2"/>
      </rPr>
      <t xml:space="preserve">令和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年度 期末残高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令和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月末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</si>
  <si>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令和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年度の収支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増減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</si>
  <si>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令和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年度の収入計</t>
    </r>
  </si>
  <si>
    <r>
      <rPr>
        <sz val="10"/>
        <color rgb="FF000000"/>
        <rFont val="WenQuanYi Zen Hei"/>
        <family val="2"/>
      </rPr>
      <t xml:space="preserve">令和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年度の支出計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経費等</t>
    </r>
    <r>
      <rPr>
        <sz val="10"/>
        <color rgb="FF000000"/>
        <rFont val="Arial"/>
        <family val="0"/>
        <charset val="1"/>
      </rPr>
      <t xml:space="preserve">)</t>
    </r>
  </si>
  <si>
    <t xml:space="preserve">対象期間の最低残高</t>
  </si>
  <si>
    <r>
      <rPr>
        <sz val="10"/>
        <color rgb="FF000000"/>
        <rFont val="WenQuanYi Zen Hei"/>
        <family val="2"/>
      </rPr>
      <t xml:space="preserve">月平均の経費支出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令和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年度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</si>
  <si>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期末残高の経費月数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手元流動性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</si>
  <si>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社債の年間税引後利息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円ベース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</si>
  <si>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社債の円ベース利回り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税引後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</si>
  <si>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損益分岐の償還時為替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円</t>
    </r>
    <r>
      <rPr>
        <sz val="10"/>
        <color rgb="FF000000"/>
        <rFont val="Arial"/>
        <family val="0"/>
        <charset val="1"/>
      </rPr>
      <t xml:space="preserve">/USD)</t>
    </r>
  </si>
  <si>
    <t xml:space="preserve">読み取りのポイント</t>
  </si>
  <si>
    <r>
      <rPr>
        <sz val="10"/>
        <color rgb="FF000000"/>
        <rFont val="WenQuanYi Zen Hei"/>
        <family val="2"/>
      </rPr>
      <t xml:space="preserve">・来期は建売の在庫がなく収入は家賃のみ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土地・商品の売却収入は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で計上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。令和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〜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月の現預金増加は在庫売却によるもので、家賃と経費だけでは赤字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家賃は最新明細で月約</t>
    </r>
    <r>
      <rPr>
        <sz val="10"/>
        <color rgb="FF000000"/>
        <rFont val="Arial"/>
        <family val="0"/>
        <charset val="1"/>
      </rPr>
      <t xml:space="preserve">380</t>
    </r>
    <r>
      <rPr>
        <sz val="10"/>
        <color rgb="FF000000"/>
        <rFont val="WenQuanYi Zen Hei"/>
        <family val="2"/>
      </rPr>
      <t xml:space="preserve">万円、下期の経費は月約</t>
    </r>
    <r>
      <rPr>
        <sz val="10"/>
        <color rgb="FF000000"/>
        <rFont val="Arial"/>
        <family val="0"/>
        <charset val="1"/>
      </rPr>
      <t xml:space="preserve">620</t>
    </r>
    <r>
      <rPr>
        <sz val="10"/>
        <color rgb="FF000000"/>
        <rFont val="WenQuanYi Zen Hei"/>
        <family val="2"/>
      </rPr>
      <t xml:space="preserve">万円。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月のみ年間計上分の約</t>
    </r>
    <r>
      <rPr>
        <sz val="10"/>
        <color rgb="FF000000"/>
        <rFont val="Arial"/>
        <family val="0"/>
        <charset val="1"/>
      </rPr>
      <t xml:space="preserve">2,500</t>
    </r>
    <r>
      <rPr>
        <sz val="10"/>
        <color rgb="FF000000"/>
        <rFont val="WenQuanYi Zen Hei"/>
        <family val="2"/>
      </rPr>
      <t xml:space="preserve">万円が上乗せされる実績パターンで、内容は要確認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。経費の内訳は「経費内訳」シート参照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保険料が約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割で最大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。</t>
    </r>
  </si>
  <si>
    <r>
      <rPr>
        <sz val="10"/>
        <color rgb="FF000000"/>
        <rFont val="WenQuanYi Zen Hei"/>
        <family val="2"/>
      </rPr>
      <t xml:space="preserve">・令和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〜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月は営業損失約</t>
    </r>
    <r>
      <rPr>
        <sz val="10"/>
        <color rgb="FF000000"/>
        <rFont val="Arial"/>
        <family val="0"/>
        <charset val="1"/>
      </rPr>
      <t xml:space="preserve">8,700</t>
    </r>
    <r>
      <rPr>
        <sz val="10"/>
        <color rgb="FF000000"/>
        <rFont val="WenQuanYi Zen Hei"/>
        <family val="2"/>
      </rPr>
      <t xml:space="preserve">万円・経常損失約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億</t>
    </r>
    <r>
      <rPr>
        <sz val="10"/>
        <color rgb="FF000000"/>
        <rFont val="Arial"/>
        <family val="0"/>
        <charset val="1"/>
      </rPr>
      <t xml:space="preserve">300</t>
    </r>
    <r>
      <rPr>
        <sz val="10"/>
        <color rgb="FF000000"/>
        <rFont val="WenQuanYi Zen Hei"/>
        <family val="2"/>
      </rPr>
      <t xml:space="preserve">万円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土地売上が原価割れ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BS</t>
    </r>
    <r>
      <rPr>
        <sz val="10"/>
        <color rgb="FF000000"/>
        <rFont val="WenQuanYi Zen Hei"/>
        <family val="2"/>
      </rPr>
      <t xml:space="preserve">上の商品約</t>
    </r>
    <r>
      <rPr>
        <sz val="10"/>
        <color rgb="FF000000"/>
        <rFont val="Arial"/>
        <family val="0"/>
        <charset val="1"/>
      </rPr>
      <t xml:space="preserve">8,000</t>
    </r>
    <r>
      <rPr>
        <sz val="10"/>
        <color rgb="FF000000"/>
        <rFont val="WenQuanYi Zen Hei"/>
        <family val="2"/>
      </rPr>
      <t xml:space="preserve">万円の売却は見込んでいません。</t>
    </r>
  </si>
  <si>
    <r>
      <rPr>
        <sz val="10"/>
        <color rgb="FF000000"/>
        <rFont val="WenQuanYi Zen Hei"/>
        <family val="2"/>
      </rPr>
      <t xml:space="preserve">・社債</t>
    </r>
    <r>
      <rPr>
        <sz val="10"/>
        <color rgb="FF000000"/>
        <rFont val="Arial"/>
        <family val="0"/>
        <charset val="1"/>
      </rPr>
      <t xml:space="preserve">25</t>
    </r>
    <r>
      <rPr>
        <sz val="10"/>
        <color rgb="FF000000"/>
        <rFont val="WenQuanYi Zen Hei"/>
        <family val="2"/>
      </rPr>
      <t xml:space="preserve">万</t>
    </r>
    <r>
      <rPr>
        <sz val="10"/>
        <color rgb="FF000000"/>
        <rFont val="Arial"/>
        <family val="0"/>
        <charset val="1"/>
      </rPr>
      <t xml:space="preserve">USD(</t>
    </r>
    <r>
      <rPr>
        <sz val="10"/>
        <color rgb="FF000000"/>
        <rFont val="WenQuanYi Zen Hei"/>
        <family val="2"/>
      </rPr>
      <t xml:space="preserve">約</t>
    </r>
    <r>
      <rPr>
        <sz val="10"/>
        <color rgb="FF000000"/>
        <rFont val="Arial"/>
        <family val="0"/>
        <charset val="1"/>
      </rPr>
      <t xml:space="preserve">3,950</t>
    </r>
    <r>
      <rPr>
        <sz val="10"/>
        <color rgb="FF000000"/>
        <rFont val="WenQuanYi Zen Hei"/>
        <family val="2"/>
      </rPr>
      <t xml:space="preserve">万円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を購入しても、前提どおり臨時収入ゼロの保守的な見積りで現預金は約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億円台を維持。ただし収益が改善しない限り残高は毎年減少します。</t>
    </r>
  </si>
  <si>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Arial"/>
        <family val="0"/>
        <charset val="1"/>
      </rPr>
      <t xml:space="preserve">7%</t>
    </r>
    <r>
      <rPr>
        <sz val="10"/>
        <color rgb="FF000000"/>
        <rFont val="WenQuanYi Zen Hei"/>
        <family val="2"/>
      </rPr>
      <t xml:space="preserve">は米ドル建てのクーポンです。円ベースでは源泉税と為替で変動し、損益分岐は社債検討シートの通り。賃貸アパートとの比較は同シートの仮置き条件で確認してください。</t>
    </r>
  </si>
  <si>
    <r>
      <rPr>
        <sz val="10"/>
        <color rgb="FF000000"/>
        <rFont val="WenQuanYi Zen Hei"/>
        <family val="2"/>
      </rPr>
      <t xml:space="preserve">・長期未払金が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月に</t>
    </r>
    <r>
      <rPr>
        <sz val="10"/>
        <color rgb="FF000000"/>
        <rFont val="Arial"/>
        <family val="0"/>
        <charset val="1"/>
      </rPr>
      <t xml:space="preserve">4,691</t>
    </r>
    <r>
      <rPr>
        <sz val="10"/>
        <color rgb="FF000000"/>
        <rFont val="WenQuanYi Zen Hei"/>
        <family val="2"/>
      </rPr>
      <t xml:space="preserve">万円へ倍増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前年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月は</t>
    </r>
    <r>
      <rPr>
        <sz val="10"/>
        <color rgb="FF000000"/>
        <rFont val="Arial"/>
        <family val="0"/>
        <charset val="1"/>
      </rPr>
      <t xml:space="preserve">2,345</t>
    </r>
    <r>
      <rPr>
        <sz val="10"/>
        <color rgb="FF000000"/>
        <rFont val="WenQuanYi Zen Hei"/>
        <family val="2"/>
      </rPr>
      <t xml:space="preserve">万円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。支払期日が未確認のため資金繰り表には含めていません。支払時期が決まれば資金繰り表の手入力欄に入れてください。</t>
    </r>
  </si>
  <si>
    <r>
      <rPr>
        <sz val="10"/>
        <color rgb="FF000000"/>
        <rFont val="WenQuanYi Zen Hei"/>
        <family val="2"/>
      </rPr>
      <t xml:space="preserve">・短期貸付金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億</t>
    </r>
    <r>
      <rPr>
        <sz val="10"/>
        <color rgb="FF000000"/>
        <rFont val="Arial"/>
        <family val="0"/>
        <charset val="1"/>
      </rPr>
      <t xml:space="preserve">6,267</t>
    </r>
    <r>
      <rPr>
        <sz val="10"/>
        <color rgb="FF000000"/>
        <rFont val="WenQuanYi Zen Hei"/>
        <family val="2"/>
      </rPr>
      <t xml:space="preserve">万円・未収入金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億</t>
    </r>
    <r>
      <rPr>
        <sz val="10"/>
        <color rgb="FF000000"/>
        <rFont val="Arial"/>
        <family val="0"/>
        <charset val="1"/>
      </rPr>
      <t xml:space="preserve">5,114</t>
    </r>
    <r>
      <rPr>
        <sz val="10"/>
        <color rgb="FF000000"/>
        <rFont val="WenQuanYi Zen Hei"/>
        <family val="2"/>
      </rPr>
      <t xml:space="preserve">万円・前渡金</t>
    </r>
    <r>
      <rPr>
        <sz val="10"/>
        <color rgb="FF000000"/>
        <rFont val="Arial"/>
        <family val="0"/>
        <charset val="1"/>
      </rPr>
      <t xml:space="preserve">1,500</t>
    </r>
    <r>
      <rPr>
        <sz val="10"/>
        <color rgb="FF000000"/>
        <rFont val="WenQuanYi Zen Hei"/>
        <family val="2"/>
      </rPr>
      <t xml:space="preserve">万円は回収予定を反映していません</t>
    </r>
    <r>
      <rPr>
        <sz val="10"/>
        <color rgb="FF000000"/>
        <rFont val="Arial"/>
        <family val="0"/>
        <charset val="1"/>
      </rPr>
      <t xml:space="preserve">(8</t>
    </r>
    <r>
      <rPr>
        <sz val="10"/>
        <color rgb="FF000000"/>
        <rFont val="WenQuanYi Zen Hei"/>
        <family val="2"/>
      </rPr>
      <t xml:space="preserve">〜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月に貸付金が月</t>
    </r>
    <r>
      <rPr>
        <sz val="10"/>
        <color rgb="FF000000"/>
        <rFont val="Arial"/>
        <family val="0"/>
        <charset val="1"/>
      </rPr>
      <t xml:space="preserve">100</t>
    </r>
    <r>
      <rPr>
        <sz val="10"/>
        <color rgb="FF000000"/>
        <rFont val="WenQuanYi Zen Hei"/>
        <family val="2"/>
      </rPr>
      <t xml:space="preserve">万円ずつ減少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。回収計画があれば手入力欄へ。</t>
    </r>
  </si>
  <si>
    <r>
      <rPr>
        <b val="true"/>
        <sz val="13"/>
        <color rgb="FF000000"/>
        <rFont val="WenQuanYi Zen Hei"/>
        <family val="2"/>
      </rPr>
      <t xml:space="preserve">前提条件</t>
    </r>
    <r>
      <rPr>
        <b val="true"/>
        <sz val="13"/>
        <color rgb="FF000000"/>
        <rFont val="Arial"/>
        <family val="0"/>
        <charset val="1"/>
      </rPr>
      <t xml:space="preserve">(</t>
    </r>
    <r>
      <rPr>
        <b val="true"/>
        <sz val="13"/>
        <color rgb="FF000000"/>
        <rFont val="WenQuanYi Zen Hei"/>
        <family val="2"/>
      </rPr>
      <t xml:space="preserve">青字・黄色セルを変更すると資金繰り表が再計算されます</t>
    </r>
    <r>
      <rPr>
        <b val="true"/>
        <sz val="13"/>
        <color rgb="FF000000"/>
        <rFont val="Arial"/>
        <family val="0"/>
        <charset val="1"/>
      </rPr>
      <t xml:space="preserve">)</t>
    </r>
  </si>
  <si>
    <r>
      <rPr>
        <i val="true"/>
        <sz val="10"/>
        <color rgb="FF595959"/>
        <rFont val="WenQuanYi Zen Hei"/>
        <family val="2"/>
      </rPr>
      <t xml:space="preserve">金額は円。青字</t>
    </r>
    <r>
      <rPr>
        <i val="true"/>
        <sz val="10"/>
        <color rgb="FF595959"/>
        <rFont val="Arial"/>
        <family val="0"/>
        <charset val="1"/>
      </rPr>
      <t xml:space="preserve">=</t>
    </r>
    <r>
      <rPr>
        <i val="true"/>
        <sz val="10"/>
        <color rgb="FF595959"/>
        <rFont val="WenQuanYi Zen Hei"/>
        <family val="2"/>
      </rPr>
      <t xml:space="preserve">入力値、黒字</t>
    </r>
    <r>
      <rPr>
        <i val="true"/>
        <sz val="10"/>
        <color rgb="FF595959"/>
        <rFont val="Arial"/>
        <family val="0"/>
        <charset val="1"/>
      </rPr>
      <t xml:space="preserve">=</t>
    </r>
    <r>
      <rPr>
        <i val="true"/>
        <sz val="10"/>
        <color rgb="FF595959"/>
        <rFont val="WenQuanYi Zen Hei"/>
        <family val="2"/>
      </rPr>
      <t xml:space="preserve">計算、緑字</t>
    </r>
    <r>
      <rPr>
        <i val="true"/>
        <sz val="10"/>
        <color rgb="FF595959"/>
        <rFont val="Arial"/>
        <family val="0"/>
        <charset val="1"/>
      </rPr>
      <t xml:space="preserve">=</t>
    </r>
    <r>
      <rPr>
        <i val="true"/>
        <sz val="10"/>
        <color rgb="FF595959"/>
        <rFont val="WenQuanYi Zen Hei"/>
        <family val="2"/>
      </rPr>
      <t xml:space="preserve">他シート参照。</t>
    </r>
  </si>
  <si>
    <r>
      <rPr>
        <b val="true"/>
        <sz val="10"/>
        <color rgb="FF000000"/>
        <rFont val="Arial"/>
        <family val="0"/>
        <charset val="1"/>
      </rPr>
      <t xml:space="preserve">1. </t>
    </r>
    <r>
      <rPr>
        <b val="true"/>
        <sz val="10"/>
        <color rgb="FF000000"/>
        <rFont val="WenQuanYi Zen Hei"/>
        <family val="2"/>
      </rPr>
      <t xml:space="preserve">開始残高・収入</t>
    </r>
  </si>
  <si>
    <r>
      <rPr>
        <sz val="10"/>
        <color rgb="FF000000"/>
        <rFont val="WenQuanYi Zen Hei"/>
        <family val="2"/>
      </rPr>
      <t xml:space="preserve">期首現預金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令和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月末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</si>
  <si>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595959"/>
        <rFont val="Arial"/>
        <family val="0"/>
        <charset val="1"/>
      </rPr>
      <t xml:space="preserve">BS</t>
    </r>
    <r>
      <rPr>
        <sz val="10"/>
        <color rgb="FF595959"/>
        <rFont val="WenQuanYi Zen Hei"/>
        <family val="2"/>
      </rPr>
      <t xml:space="preserve">現預金小計</t>
    </r>
    <r>
      <rPr>
        <sz val="10"/>
        <color rgb="FF595959"/>
        <rFont val="Arial"/>
        <family val="0"/>
        <charset val="1"/>
      </rPr>
      <t xml:space="preserve">(</t>
    </r>
    <r>
      <rPr>
        <sz val="10"/>
        <color rgb="FF595959"/>
        <rFont val="WenQuanYi Zen Hei"/>
        <family val="2"/>
      </rPr>
      <t xml:space="preserve">現金</t>
    </r>
    <r>
      <rPr>
        <sz val="10"/>
        <color rgb="FF595959"/>
        <rFont val="Arial"/>
        <family val="0"/>
        <charset val="1"/>
      </rPr>
      <t xml:space="preserve">1,082,425+</t>
    </r>
    <r>
      <rPr>
        <sz val="10"/>
        <color rgb="FF595959"/>
        <rFont val="WenQuanYi Zen Hei"/>
        <family val="2"/>
      </rPr>
      <t xml:space="preserve">当座</t>
    </r>
    <r>
      <rPr>
        <sz val="10"/>
        <color rgb="FF595959"/>
        <rFont val="Arial"/>
        <family val="0"/>
        <charset val="1"/>
      </rPr>
      <t xml:space="preserve">33,394,160+</t>
    </r>
    <r>
      <rPr>
        <sz val="10"/>
        <color rgb="FF595959"/>
        <rFont val="WenQuanYi Zen Hei"/>
        <family val="2"/>
      </rPr>
      <t xml:space="preserve">普通</t>
    </r>
    <r>
      <rPr>
        <sz val="10"/>
        <color rgb="FF595959"/>
        <rFont val="Arial"/>
        <family val="0"/>
        <charset val="1"/>
      </rPr>
      <t xml:space="preserve">162,529,499+</t>
    </r>
    <r>
      <rPr>
        <sz val="10"/>
        <color rgb="FF595959"/>
        <rFont val="WenQuanYi Zen Hei"/>
        <family val="2"/>
      </rPr>
      <t xml:space="preserve">定期</t>
    </r>
    <r>
      <rPr>
        <sz val="10"/>
        <color rgb="FF595959"/>
        <rFont val="Arial"/>
        <family val="0"/>
        <charset val="1"/>
      </rPr>
      <t xml:space="preserve">10,933,363)</t>
    </r>
    <r>
      <rPr>
        <sz val="10"/>
        <color rgb="FF595959"/>
        <rFont val="WenQuanYi Zen Hei"/>
        <family val="2"/>
      </rPr>
      <t xml:space="preserve">。出典</t>
    </r>
    <r>
      <rPr>
        <sz val="10"/>
        <color rgb="FF595959"/>
        <rFont val="Arial"/>
        <family val="0"/>
        <charset val="1"/>
      </rPr>
      <t xml:space="preserve">:</t>
    </r>
    <r>
      <rPr>
        <sz val="10"/>
        <color rgb="FF595959"/>
        <rFont val="WenQuanYi Zen Hei"/>
        <family val="2"/>
      </rPr>
      <t xml:space="preserve">残高推移表</t>
    </r>
  </si>
  <si>
    <r>
      <rPr>
        <sz val="10"/>
        <color rgb="FF000000"/>
        <rFont val="WenQuanYi Zen Hei"/>
        <family val="2"/>
      </rPr>
      <t xml:space="preserve">賃貸収入 月額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最新の家賃明細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</si>
  <si>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595959"/>
        <rFont val="WenQuanYi Zen Hei"/>
        <family val="2"/>
      </rPr>
      <t xml:space="preserve">令和</t>
    </r>
    <r>
      <rPr>
        <sz val="10"/>
        <color rgb="FF595959"/>
        <rFont val="Arial"/>
        <family val="0"/>
        <charset val="1"/>
      </rPr>
      <t xml:space="preserve">8</t>
    </r>
    <r>
      <rPr>
        <sz val="10"/>
        <color rgb="FF595959"/>
        <rFont val="WenQuanYi Zen Hei"/>
        <family val="2"/>
      </rPr>
      <t xml:space="preserve">年</t>
    </r>
    <r>
      <rPr>
        <sz val="10"/>
        <color rgb="FF595959"/>
        <rFont val="Arial"/>
        <family val="0"/>
        <charset val="1"/>
      </rPr>
      <t xml:space="preserve">10</t>
    </r>
    <r>
      <rPr>
        <sz val="10"/>
        <color rgb="FF595959"/>
        <rFont val="WenQuanYi Zen Hei"/>
        <family val="2"/>
      </rPr>
      <t xml:space="preserve">月</t>
    </r>
    <r>
      <rPr>
        <sz val="10"/>
        <color rgb="FF595959"/>
        <rFont val="Arial"/>
        <family val="0"/>
        <charset val="1"/>
      </rPr>
      <t xml:space="preserve">15</t>
    </r>
    <r>
      <rPr>
        <sz val="10"/>
        <color rgb="FF595959"/>
        <rFont val="WenQuanYi Zen Hei"/>
        <family val="2"/>
      </rPr>
      <t xml:space="preserve">日付「賃貸収入・支出明細」旭土地建物の月額合計</t>
    </r>
    <r>
      <rPr>
        <sz val="10"/>
        <color rgb="FF595959"/>
        <rFont val="Arial"/>
        <family val="0"/>
        <charset val="1"/>
      </rPr>
      <t xml:space="preserve">(</t>
    </r>
    <r>
      <rPr>
        <sz val="10"/>
        <color rgb="FF595959"/>
        <rFont val="WenQuanYi Zen Hei"/>
        <family val="2"/>
      </rPr>
      <t xml:space="preserve">家賃明細シート</t>
    </r>
    <r>
      <rPr>
        <sz val="10"/>
        <color rgb="FF595959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</si>
  <si>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月に上乗せされる年間計上分</t>
    </r>
  </si>
  <si>
    <r>
      <rPr>
        <sz val="10"/>
        <color rgb="FF595959"/>
        <rFont val="WenQuanYi Zen Hei"/>
        <family val="2"/>
      </rPr>
      <t xml:space="preserve">令和</t>
    </r>
    <r>
      <rPr>
        <sz val="10"/>
        <color rgb="FF595959"/>
        <rFont val="Arial"/>
        <family val="0"/>
        <charset val="1"/>
      </rPr>
      <t xml:space="preserve">8</t>
    </r>
    <r>
      <rPr>
        <sz val="10"/>
        <color rgb="FF595959"/>
        <rFont val="WenQuanYi Zen Hei"/>
        <family val="2"/>
      </rPr>
      <t xml:space="preserve">年</t>
    </r>
    <r>
      <rPr>
        <sz val="10"/>
        <color rgb="FF595959"/>
        <rFont val="Arial"/>
        <family val="0"/>
        <charset val="1"/>
      </rPr>
      <t xml:space="preserve">4</t>
    </r>
    <r>
      <rPr>
        <sz val="10"/>
        <color rgb="FF595959"/>
        <rFont val="WenQuanYi Zen Hei"/>
        <family val="2"/>
      </rPr>
      <t xml:space="preserve">月</t>
    </r>
    <r>
      <rPr>
        <sz val="10"/>
        <color rgb="FF595959"/>
        <rFont val="Arial"/>
        <family val="0"/>
        <charset val="1"/>
      </rPr>
      <t xml:space="preserve">(29.2</t>
    </r>
    <r>
      <rPr>
        <sz val="10"/>
        <color rgb="FF595959"/>
        <rFont val="WenQuanYi Zen Hei"/>
        <family val="2"/>
      </rPr>
      <t xml:space="preserve">百万円</t>
    </r>
    <r>
      <rPr>
        <sz val="10"/>
        <color rgb="FF595959"/>
        <rFont val="Arial"/>
        <family val="0"/>
        <charset val="1"/>
      </rPr>
      <t xml:space="preserve">)</t>
    </r>
    <r>
      <rPr>
        <sz val="10"/>
        <color rgb="FF595959"/>
        <rFont val="WenQuanYi Zen Hei"/>
        <family val="2"/>
      </rPr>
      <t xml:space="preserve">と</t>
    </r>
    <r>
      <rPr>
        <sz val="10"/>
        <color rgb="FF595959"/>
        <rFont val="Arial"/>
        <family val="0"/>
        <charset val="1"/>
      </rPr>
      <t xml:space="preserve">5</t>
    </r>
    <r>
      <rPr>
        <sz val="10"/>
        <color rgb="FF595959"/>
        <rFont val="WenQuanYi Zen Hei"/>
        <family val="2"/>
      </rPr>
      <t xml:space="preserve">月</t>
    </r>
    <r>
      <rPr>
        <sz val="10"/>
        <color rgb="FF595959"/>
        <rFont val="Arial"/>
        <family val="0"/>
        <charset val="1"/>
      </rPr>
      <t xml:space="preserve">(3.9</t>
    </r>
    <r>
      <rPr>
        <sz val="10"/>
        <color rgb="FF595959"/>
        <rFont val="WenQuanYi Zen Hei"/>
        <family val="2"/>
      </rPr>
      <t xml:space="preserve">百万円</t>
    </r>
    <r>
      <rPr>
        <sz val="10"/>
        <color rgb="FF595959"/>
        <rFont val="Arial"/>
        <family val="0"/>
        <charset val="1"/>
      </rPr>
      <t xml:space="preserve">)</t>
    </r>
    <r>
      <rPr>
        <sz val="10"/>
        <color rgb="FF595959"/>
        <rFont val="WenQuanYi Zen Hei"/>
        <family val="2"/>
      </rPr>
      <t xml:space="preserve">の差。過去</t>
    </r>
    <r>
      <rPr>
        <sz val="10"/>
        <color rgb="FF595959"/>
        <rFont val="Arial"/>
        <family val="0"/>
        <charset val="1"/>
      </rPr>
      <t xml:space="preserve">4</t>
    </r>
    <r>
      <rPr>
        <sz val="10"/>
        <color rgb="FF595959"/>
        <rFont val="WenQuanYi Zen Hei"/>
        <family val="2"/>
      </rPr>
      <t xml:space="preserve">年とも</t>
    </r>
    <r>
      <rPr>
        <sz val="10"/>
        <color rgb="FF595959"/>
        <rFont val="Arial"/>
        <family val="0"/>
        <charset val="1"/>
      </rPr>
      <t xml:space="preserve">4</t>
    </r>
    <r>
      <rPr>
        <sz val="10"/>
        <color rgb="FF595959"/>
        <rFont val="WenQuanYi Zen Hei"/>
        <family val="2"/>
      </rPr>
      <t xml:space="preserve">月に同規模の計上あり。家賃明細には表れないため内容を要確認</t>
    </r>
    <r>
      <rPr>
        <sz val="10"/>
        <color rgb="FF595959"/>
        <rFont val="Arial"/>
        <family val="0"/>
        <charset val="1"/>
      </rPr>
      <t xml:space="preserve">(0</t>
    </r>
    <r>
      <rPr>
        <sz val="10"/>
        <color rgb="FF595959"/>
        <rFont val="WenQuanYi Zen Hei"/>
        <family val="2"/>
      </rPr>
      <t xml:space="preserve">にすれば除外</t>
    </r>
    <r>
      <rPr>
        <sz val="10"/>
        <color rgb="FF595959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</si>
  <si>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月のその他売上</t>
    </r>
  </si>
  <si>
    <r>
      <rPr>
        <sz val="10"/>
        <color rgb="FF595959"/>
        <rFont val="WenQuanYi Zen Hei"/>
        <family val="2"/>
      </rPr>
      <t xml:space="preserve">令和</t>
    </r>
    <r>
      <rPr>
        <sz val="10"/>
        <color rgb="FF595959"/>
        <rFont val="Arial"/>
        <family val="0"/>
        <charset val="1"/>
      </rPr>
      <t xml:space="preserve">8</t>
    </r>
    <r>
      <rPr>
        <sz val="10"/>
        <color rgb="FF595959"/>
        <rFont val="WenQuanYi Zen Hei"/>
        <family val="2"/>
      </rPr>
      <t xml:space="preserve">年</t>
    </r>
    <r>
      <rPr>
        <sz val="10"/>
        <color rgb="FF595959"/>
        <rFont val="Arial"/>
        <family val="0"/>
        <charset val="1"/>
      </rPr>
      <t xml:space="preserve">4</t>
    </r>
    <r>
      <rPr>
        <sz val="10"/>
        <color rgb="FF595959"/>
        <rFont val="WenQuanYi Zen Hei"/>
        <family val="2"/>
      </rPr>
      <t xml:space="preserve">月実績</t>
    </r>
    <r>
      <rPr>
        <sz val="10"/>
        <color rgb="FF595959"/>
        <rFont val="Arial"/>
        <family val="0"/>
        <charset val="1"/>
      </rPr>
      <t xml:space="preserve">(</t>
    </r>
    <r>
      <rPr>
        <sz val="10"/>
        <color rgb="FF595959"/>
        <rFont val="WenQuanYi Zen Hei"/>
        <family val="2"/>
      </rPr>
      <t xml:space="preserve">売上高</t>
    </r>
    <r>
      <rPr>
        <sz val="10"/>
        <color rgb="FF595959"/>
        <rFont val="Arial"/>
        <family val="0"/>
        <charset val="1"/>
      </rPr>
      <t xml:space="preserve">4114)</t>
    </r>
  </si>
  <si>
    <r>
      <rPr>
        <b val="true"/>
        <sz val="10"/>
        <color rgb="FF000000"/>
        <rFont val="Arial"/>
        <family val="0"/>
        <charset val="1"/>
      </rPr>
      <t xml:space="preserve">2. </t>
    </r>
    <r>
      <rPr>
        <b val="true"/>
        <sz val="10"/>
        <color rgb="FF000000"/>
        <rFont val="WenQuanYi Zen Hei"/>
        <family val="2"/>
      </rPr>
      <t xml:space="preserve">消費税納付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令和</t>
    </r>
    <r>
      <rPr>
        <b val="true"/>
        <sz val="10"/>
        <color rgb="FF000000"/>
        <rFont val="Arial"/>
        <family val="0"/>
        <charset val="1"/>
      </rPr>
      <t xml:space="preserve">9</t>
    </r>
    <r>
      <rPr>
        <b val="true"/>
        <sz val="10"/>
        <color rgb="FF000000"/>
        <rFont val="WenQuanYi Zen Hei"/>
        <family val="2"/>
      </rPr>
      <t xml:space="preserve">年</t>
    </r>
    <r>
      <rPr>
        <b val="true"/>
        <sz val="10"/>
        <color rgb="FF000000"/>
        <rFont val="Arial"/>
        <family val="0"/>
        <charset val="1"/>
      </rPr>
      <t xml:space="preserve">5</t>
    </r>
    <r>
      <rPr>
        <b val="true"/>
        <sz val="10"/>
        <color rgb="FF000000"/>
        <rFont val="WenQuanYi Zen Hei"/>
        <family val="2"/>
      </rPr>
      <t xml:space="preserve">月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</si>
  <si>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仮受消費税等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令和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月末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</si>
  <si>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595959"/>
        <rFont val="Arial"/>
        <family val="0"/>
        <charset val="1"/>
      </rPr>
      <t xml:space="preserve">BS</t>
    </r>
    <r>
      <rPr>
        <sz val="10"/>
        <color rgb="FF595959"/>
        <rFont val="WenQuanYi Zen Hei"/>
        <family val="2"/>
      </rPr>
      <t xml:space="preserve">負債の部</t>
    </r>
  </si>
  <si>
    <r>
      <rPr>
        <sz val="10"/>
        <color rgb="FF000000"/>
        <rFont val="WenQuanYi Zen Hei"/>
        <family val="2"/>
      </rPr>
      <t xml:space="preserve">仮払消費税等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令和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月末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</si>
  <si>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595959"/>
        <rFont val="Arial"/>
        <family val="0"/>
        <charset val="1"/>
      </rPr>
      <t xml:space="preserve">BS</t>
    </r>
    <r>
      <rPr>
        <sz val="10"/>
        <color rgb="FF595959"/>
        <rFont val="WenQuanYi Zen Hei"/>
        <family val="2"/>
      </rPr>
      <t xml:space="preserve">資産の部</t>
    </r>
  </si>
  <si>
    <t xml:space="preserve">年間換算倍率</t>
  </si>
  <si>
    <r>
      <rPr>
        <sz val="10"/>
        <color rgb="FF595959"/>
        <rFont val="WenQuanYi Zen Hei"/>
        <family val="2"/>
      </rPr>
      <t xml:space="preserve">上期実績を</t>
    </r>
    <r>
      <rPr>
        <sz val="10"/>
        <color rgb="FF595959"/>
        <rFont val="Arial"/>
        <family val="0"/>
        <charset val="1"/>
      </rPr>
      <t xml:space="preserve">2</t>
    </r>
    <r>
      <rPr>
        <sz val="10"/>
        <color rgb="FF595959"/>
        <rFont val="WenQuanYi Zen Hei"/>
        <family val="2"/>
      </rPr>
      <t xml:space="preserve">倍して年間納付額を概算</t>
    </r>
  </si>
  <si>
    <r>
      <rPr>
        <sz val="10"/>
        <color rgb="FF000000"/>
        <rFont val="WenQuanYi Zen Hei"/>
        <family val="2"/>
      </rPr>
      <t xml:space="preserve">消費税納付見込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令和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月払い</t>
    </r>
    <r>
      <rPr>
        <sz val="10"/>
        <color rgb="FF000000"/>
        <rFont val="Arial"/>
        <family val="0"/>
        <charset val="1"/>
      </rPr>
      <t xml:space="preserve">)</t>
    </r>
  </si>
  <si>
    <t xml:space="preserve">土地売上は非課税のため、賃貸等の課税売上ベースで概算。税理士確認を推奨</t>
  </si>
  <si>
    <r>
      <rPr>
        <b val="true"/>
        <sz val="10"/>
        <color rgb="FF000000"/>
        <rFont val="Arial"/>
        <family val="0"/>
        <charset val="1"/>
      </rPr>
      <t xml:space="preserve">3. </t>
    </r>
    <r>
      <rPr>
        <b val="true"/>
        <sz val="10"/>
        <color rgb="FF000000"/>
        <rFont val="WenQuanYi Zen Hei"/>
        <family val="2"/>
      </rPr>
      <t xml:space="preserve">社債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大和証券 提案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</si>
  <si>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購入額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額面・</t>
    </r>
    <r>
      <rPr>
        <sz val="10"/>
        <color rgb="FF000000"/>
        <rFont val="Arial"/>
        <family val="0"/>
        <charset val="1"/>
      </rPr>
      <t xml:space="preserve">USD)</t>
    </r>
  </si>
  <si>
    <r>
      <rPr>
        <sz val="10"/>
        <color rgb="FF595959"/>
        <rFont val="WenQuanYi Zen Hei"/>
        <family val="2"/>
      </rPr>
      <t xml:space="preserve">最低購入単位</t>
    </r>
    <r>
      <rPr>
        <sz val="10"/>
        <color rgb="FF595959"/>
        <rFont val="Arial"/>
        <family val="0"/>
        <charset val="1"/>
      </rPr>
      <t xml:space="preserve">25</t>
    </r>
    <r>
      <rPr>
        <sz val="10"/>
        <color rgb="FF595959"/>
        <rFont val="WenQuanYi Zen Hei"/>
        <family val="2"/>
      </rPr>
      <t xml:space="preserve">万ドル</t>
    </r>
    <r>
      <rPr>
        <sz val="10"/>
        <color rgb="FF595959"/>
        <rFont val="Arial"/>
        <family val="0"/>
        <charset val="1"/>
      </rPr>
      <t xml:space="preserve">(</t>
    </r>
    <r>
      <rPr>
        <sz val="10"/>
        <color rgb="FF595959"/>
        <rFont val="WenQuanYi Zen Hei"/>
        <family val="2"/>
      </rPr>
      <t xml:space="preserve">ご提示</t>
    </r>
    <r>
      <rPr>
        <sz val="10"/>
        <color rgb="FF595959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</si>
  <si>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購入時為替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円</t>
    </r>
    <r>
      <rPr>
        <sz val="10"/>
        <color rgb="FF000000"/>
        <rFont val="Arial"/>
        <family val="0"/>
        <charset val="1"/>
      </rPr>
      <t xml:space="preserve">/USD)</t>
    </r>
  </si>
  <si>
    <r>
      <rPr>
        <sz val="10"/>
        <color rgb="FF595959"/>
        <rFont val="Arial"/>
        <family val="0"/>
        <charset val="1"/>
      </rPr>
      <t xml:space="preserve">OANDA 2026/10/20</t>
    </r>
    <r>
      <rPr>
        <sz val="10"/>
        <color rgb="FF595959"/>
        <rFont val="WenQuanYi Zen Hei"/>
        <family val="2"/>
      </rPr>
      <t xml:space="preserve">「</t>
    </r>
    <r>
      <rPr>
        <sz val="10"/>
        <color rgb="FF595959"/>
        <rFont val="Arial"/>
        <family val="0"/>
        <charset val="1"/>
      </rPr>
      <t xml:space="preserve">158</t>
    </r>
    <r>
      <rPr>
        <sz val="10"/>
        <color rgb="FF595959"/>
        <rFont val="WenQuanYi Zen Hei"/>
        <family val="2"/>
      </rPr>
      <t xml:space="preserve">円台半ば」を参考にした仮置き。実際の約定レートに置換</t>
    </r>
  </si>
  <si>
    <r>
      <rPr>
        <sz val="10"/>
        <color rgb="FF000000"/>
        <rFont val="WenQuanYi Zen Hei"/>
        <family val="2"/>
      </rPr>
      <t xml:space="preserve">為替手数料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円</t>
    </r>
    <r>
      <rPr>
        <sz val="10"/>
        <color rgb="FF000000"/>
        <rFont val="Arial"/>
        <family val="0"/>
        <charset val="1"/>
      </rPr>
      <t xml:space="preserve">/USD)</t>
    </r>
  </si>
  <si>
    <r>
      <rPr>
        <sz val="10"/>
        <color rgb="FF595959"/>
        <rFont val="WenQuanYi Zen Hei"/>
        <family val="2"/>
      </rPr>
      <t xml:space="preserve">仮置き。大和証券へ要確認</t>
    </r>
    <r>
      <rPr>
        <sz val="10"/>
        <color rgb="FF595959"/>
        <rFont val="Arial"/>
        <family val="0"/>
        <charset val="1"/>
      </rPr>
      <t xml:space="preserve">(</t>
    </r>
    <r>
      <rPr>
        <sz val="10"/>
        <color rgb="FF595959"/>
        <rFont val="WenQuanYi Zen Hei"/>
        <family val="2"/>
      </rPr>
      <t xml:space="preserve">購入価格に含まれる場合あり</t>
    </r>
    <r>
      <rPr>
        <sz val="10"/>
        <color rgb="FF595959"/>
        <rFont val="Arial"/>
        <family val="0"/>
        <charset val="1"/>
      </rPr>
      <t xml:space="preserve">)</t>
    </r>
  </si>
  <si>
    <t xml:space="preserve">購入年月</t>
  </si>
  <si>
    <r>
      <rPr>
        <sz val="10"/>
        <color rgb="FF595959"/>
        <rFont val="WenQuanYi Zen Hei"/>
        <family val="2"/>
      </rPr>
      <t xml:space="preserve">仮置き</t>
    </r>
    <r>
      <rPr>
        <sz val="10"/>
        <color rgb="FF595959"/>
        <rFont val="Arial"/>
        <family val="0"/>
        <charset val="1"/>
      </rPr>
      <t xml:space="preserve">(</t>
    </r>
    <r>
      <rPr>
        <sz val="10"/>
        <color rgb="FF595959"/>
        <rFont val="WenQuanYi Zen Hei"/>
        <family val="2"/>
      </rPr>
      <t xml:space="preserve">申込〜受渡し日に合わせて変更</t>
    </r>
    <r>
      <rPr>
        <sz val="10"/>
        <color rgb="FF595959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</si>
  <si>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年利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クーポン</t>
    </r>
    <r>
      <rPr>
        <sz val="10"/>
        <color rgb="FF000000"/>
        <rFont val="Arial"/>
        <family val="0"/>
        <charset val="1"/>
      </rPr>
      <t xml:space="preserve">)</t>
    </r>
  </si>
  <si>
    <t xml:space="preserve">ご提示。「利回り」か「表面利率」か、発行価格が額面かは要確認</t>
  </si>
  <si>
    <r>
      <rPr>
        <sz val="10"/>
        <color rgb="FF000000"/>
        <rFont val="WenQuanYi Zen Hei"/>
        <family val="2"/>
      </rPr>
      <t xml:space="preserve">利払回数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</si>
  <si>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595959"/>
        <rFont val="Arial"/>
        <family val="0"/>
        <charset val="1"/>
      </rPr>
      <t xml:space="preserve">1=</t>
    </r>
    <r>
      <rPr>
        <sz val="10"/>
        <color rgb="FF595959"/>
        <rFont val="WenQuanYi Zen Hei"/>
        <family val="2"/>
      </rPr>
      <t xml:space="preserve">年</t>
    </r>
    <r>
      <rPr>
        <sz val="10"/>
        <color rgb="FF595959"/>
        <rFont val="Arial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回、</t>
    </r>
    <r>
      <rPr>
        <sz val="10"/>
        <color rgb="FF595959"/>
        <rFont val="Arial"/>
        <family val="0"/>
        <charset val="1"/>
      </rPr>
      <t xml:space="preserve">2=</t>
    </r>
    <r>
      <rPr>
        <sz val="10"/>
        <color rgb="FF595959"/>
        <rFont val="WenQuanYi Zen Hei"/>
        <family val="2"/>
      </rPr>
      <t xml:space="preserve">半年ごと。要確認</t>
    </r>
  </si>
  <si>
    <t xml:space="preserve">国内源泉徴収税率</t>
  </si>
  <si>
    <r>
      <rPr>
        <sz val="10"/>
        <color rgb="FF595959"/>
        <rFont val="WenQuanYi Zen Hei"/>
        <family val="2"/>
      </rPr>
      <t xml:space="preserve">法人は所得税</t>
    </r>
    <r>
      <rPr>
        <sz val="10"/>
        <color rgb="FF595959"/>
        <rFont val="Arial"/>
        <family val="0"/>
        <charset val="1"/>
      </rPr>
      <t xml:space="preserve">15.315%</t>
    </r>
    <r>
      <rPr>
        <sz val="10"/>
        <color rgb="FF595959"/>
        <rFont val="WenQuanYi Zen Hei"/>
        <family val="2"/>
      </rPr>
      <t xml:space="preserve">が源泉され法人税から控除される想定</t>
    </r>
    <r>
      <rPr>
        <sz val="10"/>
        <color rgb="FF595959"/>
        <rFont val="Arial"/>
        <family val="0"/>
        <charset val="1"/>
      </rPr>
      <t xml:space="preserve">(</t>
    </r>
    <r>
      <rPr>
        <sz val="10"/>
        <color rgb="FF595959"/>
        <rFont val="WenQuanYi Zen Hei"/>
        <family val="2"/>
      </rPr>
      <t xml:space="preserve">欠損のため還付は決算後</t>
    </r>
    <r>
      <rPr>
        <sz val="10"/>
        <color rgb="FF595959"/>
        <rFont val="Arial"/>
        <family val="0"/>
        <charset val="1"/>
      </rPr>
      <t xml:space="preserve">)</t>
    </r>
    <r>
      <rPr>
        <sz val="10"/>
        <color rgb="FF595959"/>
        <rFont val="WenQuanYi Zen Hei"/>
        <family val="2"/>
      </rPr>
      <t xml:space="preserve">。税理士確認</t>
    </r>
  </si>
  <si>
    <r>
      <rPr>
        <sz val="10"/>
        <color rgb="FF000000"/>
        <rFont val="WenQuanYi Zen Hei"/>
        <family val="2"/>
      </rPr>
      <t xml:space="preserve">保有期間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月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</si>
  <si>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595959"/>
        <rFont val="Arial"/>
        <family val="0"/>
        <charset val="1"/>
      </rPr>
      <t xml:space="preserve">3</t>
    </r>
    <r>
      <rPr>
        <sz val="10"/>
        <color rgb="FF595959"/>
        <rFont val="WenQuanYi Zen Hei"/>
        <family val="2"/>
      </rPr>
      <t xml:space="preserve">年満期</t>
    </r>
  </si>
  <si>
    <t xml:space="preserve">利払時の想定為替</t>
  </si>
  <si>
    <r>
      <rPr>
        <sz val="10"/>
        <color rgb="FF595959"/>
        <rFont val="WenQuanYi Zen Hei"/>
        <family val="2"/>
      </rPr>
      <t xml:space="preserve">既定</t>
    </r>
    <r>
      <rPr>
        <sz val="10"/>
        <color rgb="FF595959"/>
        <rFont val="Arial"/>
        <family val="0"/>
        <charset val="1"/>
      </rPr>
      <t xml:space="preserve">=</t>
    </r>
    <r>
      <rPr>
        <sz val="10"/>
        <color rgb="FF595959"/>
        <rFont val="WenQuanYi Zen Hei"/>
        <family val="2"/>
      </rPr>
      <t xml:space="preserve">購入時と同じ。円高</t>
    </r>
    <r>
      <rPr>
        <sz val="10"/>
        <color rgb="FF595959"/>
        <rFont val="Arial"/>
        <family val="0"/>
        <charset val="1"/>
      </rPr>
      <t xml:space="preserve">/</t>
    </r>
    <r>
      <rPr>
        <sz val="10"/>
        <color rgb="FF595959"/>
        <rFont val="WenQuanYi Zen Hei"/>
        <family val="2"/>
      </rPr>
      <t xml:space="preserve">円安シナリオは上書き</t>
    </r>
  </si>
  <si>
    <t xml:space="preserve">償還時の想定為替</t>
  </si>
  <si>
    <r>
      <rPr>
        <sz val="10"/>
        <color rgb="FF595959"/>
        <rFont val="WenQuanYi Zen Hei"/>
        <family val="2"/>
      </rPr>
      <t xml:space="preserve">既定</t>
    </r>
    <r>
      <rPr>
        <sz val="10"/>
        <color rgb="FF595959"/>
        <rFont val="Arial"/>
        <family val="0"/>
        <charset val="1"/>
      </rPr>
      <t xml:space="preserve">=</t>
    </r>
    <r>
      <rPr>
        <sz val="10"/>
        <color rgb="FF595959"/>
        <rFont val="WenQuanYi Zen Hei"/>
        <family val="2"/>
      </rPr>
      <t xml:space="preserve">購入時と同じ。円高</t>
    </r>
    <r>
      <rPr>
        <sz val="10"/>
        <color rgb="FF595959"/>
        <rFont val="Arial"/>
        <family val="0"/>
        <charset val="1"/>
      </rPr>
      <t xml:space="preserve">/</t>
    </r>
    <r>
      <rPr>
        <sz val="10"/>
        <color rgb="FF595959"/>
        <rFont val="WenQuanYi Zen Hei"/>
        <family val="2"/>
      </rPr>
      <t xml:space="preserve">円安シナリオは社債検討シートで分析</t>
    </r>
  </si>
  <si>
    <r>
      <rPr>
        <sz val="10"/>
        <color rgb="FF000000"/>
        <rFont val="WenQuanYi Zen Hei"/>
        <family val="2"/>
      </rPr>
      <t xml:space="preserve">購入代金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円</t>
    </r>
    <r>
      <rPr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</si>
  <si>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000000"/>
        <rFont val="Arial"/>
        <family val="0"/>
        <charset val="1"/>
      </rPr>
      <t xml:space="preserve">4. </t>
    </r>
    <r>
      <rPr>
        <b val="true"/>
        <sz val="10"/>
        <color rgb="FF000000"/>
        <rFont val="WenQuanYi Zen Hei"/>
        <family val="2"/>
      </rPr>
      <t xml:space="preserve">経費の月別パターン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現預金の支出ベース・減価償却費を除く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</si>
  <si>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i val="true"/>
        <sz val="10"/>
        <color rgb="FF595959"/>
        <rFont val="Arial"/>
        <family val="0"/>
        <charset val="1"/>
      </rPr>
      <t xml:space="preserve">4</t>
    </r>
    <r>
      <rPr>
        <i val="true"/>
        <sz val="10"/>
        <color rgb="FF595959"/>
        <rFont val="WenQuanYi Zen Hei"/>
        <family val="2"/>
      </rPr>
      <t xml:space="preserve">〜</t>
    </r>
    <r>
      <rPr>
        <i val="true"/>
        <sz val="10"/>
        <color rgb="FF595959"/>
        <rFont val="Arial"/>
        <family val="0"/>
        <charset val="1"/>
      </rPr>
      <t xml:space="preserve">9</t>
    </r>
    <r>
      <rPr>
        <i val="true"/>
        <sz val="10"/>
        <color rgb="FF595959"/>
        <rFont val="WenQuanYi Zen Hei"/>
        <family val="2"/>
      </rPr>
      <t xml:space="preserve">月</t>
    </r>
    <r>
      <rPr>
        <i val="true"/>
        <sz val="10"/>
        <color rgb="FF595959"/>
        <rFont val="Arial"/>
        <family val="0"/>
        <charset val="1"/>
      </rPr>
      <t xml:space="preserve">=</t>
    </r>
    <r>
      <rPr>
        <i val="true"/>
        <sz val="10"/>
        <color rgb="FF595959"/>
        <rFont val="WenQuanYi Zen Hei"/>
        <family val="2"/>
      </rPr>
      <t xml:space="preserve">令和</t>
    </r>
    <r>
      <rPr>
        <i val="true"/>
        <sz val="10"/>
        <color rgb="FF595959"/>
        <rFont val="Arial"/>
        <family val="0"/>
        <charset val="1"/>
      </rPr>
      <t xml:space="preserve">8</t>
    </r>
    <r>
      <rPr>
        <i val="true"/>
        <sz val="10"/>
        <color rgb="FF595959"/>
        <rFont val="WenQuanYi Zen Hei"/>
        <family val="2"/>
      </rPr>
      <t xml:space="preserve">年度の実績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WenQuanYi Zen Hei"/>
        <family val="2"/>
      </rPr>
      <t xml:space="preserve">実績シート</t>
    </r>
    <r>
      <rPr>
        <i val="true"/>
        <sz val="10"/>
        <color rgb="FF595959"/>
        <rFont val="Arial"/>
        <family val="0"/>
        <charset val="1"/>
      </rPr>
      <t xml:space="preserve">)</t>
    </r>
    <r>
      <rPr>
        <i val="true"/>
        <sz val="10"/>
        <color rgb="FF595959"/>
        <rFont val="WenQuanYi Zen Hei"/>
        <family val="2"/>
      </rPr>
      <t xml:space="preserve">。</t>
    </r>
    <r>
      <rPr>
        <i val="true"/>
        <sz val="10"/>
        <color rgb="FF595959"/>
        <rFont val="Arial"/>
        <family val="0"/>
        <charset val="1"/>
      </rPr>
      <t xml:space="preserve">10</t>
    </r>
    <r>
      <rPr>
        <i val="true"/>
        <sz val="10"/>
        <color rgb="FF595959"/>
        <rFont val="WenQuanYi Zen Hei"/>
        <family val="2"/>
      </rPr>
      <t xml:space="preserve">〜</t>
    </r>
    <r>
      <rPr>
        <i val="true"/>
        <sz val="10"/>
        <color rgb="FF595959"/>
        <rFont val="Arial"/>
        <family val="0"/>
        <charset val="1"/>
      </rPr>
      <t xml:space="preserve">3</t>
    </r>
    <r>
      <rPr>
        <i val="true"/>
        <sz val="10"/>
        <color rgb="FF595959"/>
        <rFont val="WenQuanYi Zen Hei"/>
        <family val="2"/>
      </rPr>
      <t xml:space="preserve">月</t>
    </r>
    <r>
      <rPr>
        <i val="true"/>
        <sz val="10"/>
        <color rgb="FF595959"/>
        <rFont val="Arial"/>
        <family val="0"/>
        <charset val="1"/>
      </rPr>
      <t xml:space="preserve">=5</t>
    </r>
    <r>
      <rPr>
        <i val="true"/>
        <sz val="10"/>
        <color rgb="FF595959"/>
        <rFont val="WenQuanYi Zen Hei"/>
        <family val="2"/>
      </rPr>
      <t xml:space="preserve">〜</t>
    </r>
    <r>
      <rPr>
        <i val="true"/>
        <sz val="10"/>
        <color rgb="FF595959"/>
        <rFont val="Arial"/>
        <family val="0"/>
        <charset val="1"/>
      </rPr>
      <t xml:space="preserve">9</t>
    </r>
    <r>
      <rPr>
        <i val="true"/>
        <sz val="10"/>
        <color rgb="FF595959"/>
        <rFont val="WenQuanYi Zen Hei"/>
        <family val="2"/>
      </rPr>
      <t xml:space="preserve">月の月次中央値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WenQuanYi Zen Hei"/>
        <family val="2"/>
      </rPr>
      <t xml:space="preserve">臨時の大口を除いた水準</t>
    </r>
    <r>
      <rPr>
        <i val="true"/>
        <sz val="10"/>
        <color rgb="FF595959"/>
        <rFont val="Arial"/>
        <family val="0"/>
        <charset val="1"/>
      </rPr>
      <t xml:space="preserve">)</t>
    </r>
    <r>
      <rPr>
        <i val="true"/>
        <sz val="10"/>
        <color rgb="FF595959"/>
        <rFont val="WenQuanYi Zen Hei"/>
        <family val="2"/>
      </rPr>
      <t xml:space="preserve">。令和</t>
    </r>
    <r>
      <rPr>
        <i val="true"/>
        <sz val="10"/>
        <color rgb="FF595959"/>
        <rFont val="Arial"/>
        <family val="0"/>
        <charset val="1"/>
      </rPr>
      <t xml:space="preserve">9</t>
    </r>
    <r>
      <rPr>
        <i val="true"/>
        <sz val="10"/>
        <color rgb="FF595959"/>
        <rFont val="WenQuanYi Zen Hei"/>
        <family val="2"/>
      </rPr>
      <t xml:space="preserve">年度も同パターンを繰り返す前提。</t>
    </r>
  </si>
  <si>
    <t xml:space="preserve">項目</t>
  </si>
  <si>
    <r>
      <rPr>
        <b val="true"/>
        <sz val="10"/>
        <color rgb="FFFFFFFF"/>
        <rFont val="Arial"/>
        <family val="0"/>
        <charset val="1"/>
      </rPr>
      <t xml:space="preserve">4</t>
    </r>
    <r>
      <rPr>
        <b val="true"/>
        <sz val="10"/>
        <color rgb="FFFFFFFF"/>
        <rFont val="WenQuanYi Zen Hei"/>
        <family val="2"/>
      </rPr>
      <t xml:space="preserve">月</t>
    </r>
  </si>
  <si>
    <r>
      <rPr>
        <b val="true"/>
        <sz val="10"/>
        <color rgb="FFFFFFFF"/>
        <rFont val="Arial"/>
        <family val="0"/>
        <charset val="1"/>
      </rPr>
      <t xml:space="preserve">5</t>
    </r>
    <r>
      <rPr>
        <b val="true"/>
        <sz val="10"/>
        <color rgb="FFFFFFFF"/>
        <rFont val="WenQuanYi Zen Hei"/>
        <family val="2"/>
      </rPr>
      <t xml:space="preserve">月</t>
    </r>
  </si>
  <si>
    <r>
      <rPr>
        <b val="true"/>
        <sz val="10"/>
        <color rgb="FFFFFFFF"/>
        <rFont val="Arial"/>
        <family val="0"/>
        <charset val="1"/>
      </rPr>
      <t xml:space="preserve">6</t>
    </r>
    <r>
      <rPr>
        <b val="true"/>
        <sz val="10"/>
        <color rgb="FFFFFFFF"/>
        <rFont val="WenQuanYi Zen Hei"/>
        <family val="2"/>
      </rPr>
      <t xml:space="preserve">月</t>
    </r>
  </si>
  <si>
    <r>
      <rPr>
        <b val="true"/>
        <sz val="10"/>
        <color rgb="FFFFFFFF"/>
        <rFont val="Arial"/>
        <family val="0"/>
        <charset val="1"/>
      </rPr>
      <t xml:space="preserve">7</t>
    </r>
    <r>
      <rPr>
        <b val="true"/>
        <sz val="10"/>
        <color rgb="FFFFFFFF"/>
        <rFont val="WenQuanYi Zen Hei"/>
        <family val="2"/>
      </rPr>
      <t xml:space="preserve">月</t>
    </r>
  </si>
  <si>
    <r>
      <rPr>
        <b val="true"/>
        <sz val="10"/>
        <color rgb="FFFFFFFF"/>
        <rFont val="Arial"/>
        <family val="0"/>
        <charset val="1"/>
      </rPr>
      <t xml:space="preserve">8</t>
    </r>
    <r>
      <rPr>
        <b val="true"/>
        <sz val="10"/>
        <color rgb="FFFFFFFF"/>
        <rFont val="WenQuanYi Zen Hei"/>
        <family val="2"/>
      </rPr>
      <t xml:space="preserve">月</t>
    </r>
  </si>
  <si>
    <r>
      <rPr>
        <b val="true"/>
        <sz val="10"/>
        <color rgb="FFFFFFFF"/>
        <rFont val="Arial"/>
        <family val="0"/>
        <charset val="1"/>
      </rPr>
      <t xml:space="preserve">9</t>
    </r>
    <r>
      <rPr>
        <b val="true"/>
        <sz val="10"/>
        <color rgb="FFFFFFFF"/>
        <rFont val="WenQuanYi Zen Hei"/>
        <family val="2"/>
      </rPr>
      <t xml:space="preserve">月</t>
    </r>
  </si>
  <si>
    <r>
      <rPr>
        <b val="true"/>
        <sz val="10"/>
        <color rgb="FFFFFFFF"/>
        <rFont val="Arial"/>
        <family val="0"/>
        <charset val="1"/>
      </rPr>
      <t xml:space="preserve">10</t>
    </r>
    <r>
      <rPr>
        <b val="true"/>
        <sz val="10"/>
        <color rgb="FFFFFFFF"/>
        <rFont val="WenQuanYi Zen Hei"/>
        <family val="2"/>
      </rPr>
      <t xml:space="preserve">月</t>
    </r>
  </si>
  <si>
    <r>
      <rPr>
        <b val="true"/>
        <sz val="10"/>
        <color rgb="FFFFFFFF"/>
        <rFont val="Arial"/>
        <family val="0"/>
        <charset val="1"/>
      </rPr>
      <t xml:space="preserve">11</t>
    </r>
    <r>
      <rPr>
        <b val="true"/>
        <sz val="10"/>
        <color rgb="FFFFFFFF"/>
        <rFont val="WenQuanYi Zen Hei"/>
        <family val="2"/>
      </rPr>
      <t xml:space="preserve">月</t>
    </r>
  </si>
  <si>
    <r>
      <rPr>
        <b val="true"/>
        <sz val="10"/>
        <color rgb="FFFFFFFF"/>
        <rFont val="Arial"/>
        <family val="0"/>
        <charset val="1"/>
      </rPr>
      <t xml:space="preserve">12</t>
    </r>
    <r>
      <rPr>
        <b val="true"/>
        <sz val="10"/>
        <color rgb="FFFFFFFF"/>
        <rFont val="WenQuanYi Zen Hei"/>
        <family val="2"/>
      </rPr>
      <t xml:space="preserve">月</t>
    </r>
  </si>
  <si>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月</t>
    </r>
  </si>
  <si>
    <r>
      <rPr>
        <b val="true"/>
        <sz val="10"/>
        <color rgb="FFFFFFFF"/>
        <rFont val="Arial"/>
        <family val="0"/>
        <charset val="1"/>
      </rPr>
      <t xml:space="preserve">2</t>
    </r>
    <r>
      <rPr>
        <b val="true"/>
        <sz val="10"/>
        <color rgb="FFFFFFFF"/>
        <rFont val="WenQuanYi Zen Hei"/>
        <family val="2"/>
      </rPr>
      <t xml:space="preserve">月</t>
    </r>
  </si>
  <si>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WenQuanYi Zen Hei"/>
        <family val="2"/>
      </rPr>
      <t xml:space="preserve">月</t>
    </r>
  </si>
  <si>
    <t xml:space="preserve">年間計</t>
  </si>
  <si>
    <r>
      <rPr>
        <b val="true"/>
        <sz val="10"/>
        <color rgb="FFFFFFFF"/>
        <rFont val="Arial"/>
        <family val="0"/>
        <charset val="1"/>
      </rPr>
      <t xml:space="preserve">10</t>
    </r>
    <r>
      <rPr>
        <b val="true"/>
        <sz val="10"/>
        <color rgb="FFFFFFFF"/>
        <rFont val="WenQuanYi Zen Hei"/>
        <family val="2"/>
      </rPr>
      <t xml:space="preserve">〜</t>
    </r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WenQuanYi Zen Hei"/>
        <family val="2"/>
      </rPr>
      <t xml:space="preserve">月想定月額</t>
    </r>
  </si>
  <si>
    <t xml:space="preserve">役員報酬</t>
  </si>
  <si>
    <t xml:space="preserve">給与・賞与・福利厚生</t>
  </si>
  <si>
    <t xml:space="preserve">保険料</t>
  </si>
  <si>
    <t xml:space="preserve">租税公課</t>
  </si>
  <si>
    <t xml:space="preserve">水道光熱・通信交通</t>
  </si>
  <si>
    <t xml:space="preserve">接待交際・諸会費</t>
  </si>
  <si>
    <t xml:space="preserve">修繕・消耗品</t>
  </si>
  <si>
    <t xml:space="preserve">管理諸費・雑費・その他</t>
  </si>
  <si>
    <t xml:space="preserve">経費計</t>
  </si>
  <si>
    <r>
      <rPr>
        <i val="true"/>
        <sz val="10"/>
        <color rgb="FF595959"/>
        <rFont val="WenQuanYi Zen Hei"/>
        <family val="2"/>
      </rPr>
      <t xml:space="preserve">租税公課は</t>
    </r>
    <r>
      <rPr>
        <i val="true"/>
        <sz val="10"/>
        <color rgb="FF595959"/>
        <rFont val="Arial"/>
        <family val="0"/>
        <charset val="1"/>
      </rPr>
      <t xml:space="preserve">4</t>
    </r>
    <r>
      <rPr>
        <i val="true"/>
        <sz val="10"/>
        <color rgb="FF595959"/>
        <rFont val="WenQuanYi Zen Hei"/>
        <family val="2"/>
      </rPr>
      <t xml:space="preserve">〜</t>
    </r>
    <r>
      <rPr>
        <i val="true"/>
        <sz val="10"/>
        <color rgb="FF595959"/>
        <rFont val="Arial"/>
        <family val="0"/>
        <charset val="1"/>
      </rPr>
      <t xml:space="preserve">5</t>
    </r>
    <r>
      <rPr>
        <i val="true"/>
        <sz val="10"/>
        <color rgb="FF595959"/>
        <rFont val="WenQuanYi Zen Hei"/>
        <family val="2"/>
      </rPr>
      <t xml:space="preserve">月に年間分が計上される実績パターンのため、</t>
    </r>
    <r>
      <rPr>
        <i val="true"/>
        <sz val="10"/>
        <color rgb="FF595959"/>
        <rFont val="Arial"/>
        <family val="0"/>
        <charset val="1"/>
      </rPr>
      <t xml:space="preserve">10</t>
    </r>
    <r>
      <rPr>
        <i val="true"/>
        <sz val="10"/>
        <color rgb="FF595959"/>
        <rFont val="WenQuanYi Zen Hei"/>
        <family val="2"/>
      </rPr>
      <t xml:space="preserve">〜</t>
    </r>
    <r>
      <rPr>
        <i val="true"/>
        <sz val="10"/>
        <color rgb="FF595959"/>
        <rFont val="Arial"/>
        <family val="0"/>
        <charset val="1"/>
      </rPr>
      <t xml:space="preserve">3</t>
    </r>
    <r>
      <rPr>
        <i val="true"/>
        <sz val="10"/>
        <color rgb="FF595959"/>
        <rFont val="WenQuanYi Zen Hei"/>
        <family val="2"/>
      </rPr>
      <t xml:space="preserve">月はほぼゼロになります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WenQuanYi Zen Hei"/>
        <family val="2"/>
      </rPr>
      <t xml:space="preserve">実際の納期は固定資産税の納付書でご確認ください</t>
    </r>
    <r>
      <rPr>
        <i val="true"/>
        <sz val="10"/>
        <color rgb="FF595959"/>
        <rFont val="Arial"/>
        <family val="0"/>
        <charset val="1"/>
      </rPr>
      <t xml:space="preserve">)</t>
    </r>
    <r>
      <rPr>
        <i val="true"/>
        <sz val="10"/>
        <color rgb="FF595959"/>
        <rFont val="WenQuanYi Zen Hei"/>
        <family val="2"/>
      </rPr>
      <t xml:space="preserve">。</t>
    </r>
  </si>
  <si>
    <r>
      <rPr>
        <b val="true"/>
        <sz val="13"/>
        <color rgb="FF000000"/>
        <rFont val="WenQuanYi Zen Hei"/>
        <family val="2"/>
      </rPr>
      <t xml:space="preserve">資金繰り表</t>
    </r>
    <r>
      <rPr>
        <b val="true"/>
        <sz val="13"/>
        <color rgb="FF000000"/>
        <rFont val="Arial"/>
        <family val="0"/>
        <charset val="1"/>
      </rPr>
      <t xml:space="preserve">(</t>
    </r>
    <r>
      <rPr>
        <b val="true"/>
        <sz val="13"/>
        <color rgb="FF000000"/>
        <rFont val="WenQuanYi Zen Hei"/>
        <family val="2"/>
      </rPr>
      <t xml:space="preserve">令和</t>
    </r>
    <r>
      <rPr>
        <b val="true"/>
        <sz val="13"/>
        <color rgb="FF000000"/>
        <rFont val="Arial"/>
        <family val="0"/>
        <charset val="1"/>
      </rPr>
      <t xml:space="preserve">8</t>
    </r>
    <r>
      <rPr>
        <b val="true"/>
        <sz val="13"/>
        <color rgb="FF000000"/>
        <rFont val="WenQuanYi Zen Hei"/>
        <family val="2"/>
      </rPr>
      <t xml:space="preserve">年</t>
    </r>
    <r>
      <rPr>
        <b val="true"/>
        <sz val="13"/>
        <color rgb="FF000000"/>
        <rFont val="Arial"/>
        <family val="0"/>
        <charset val="1"/>
      </rPr>
      <t xml:space="preserve">10</t>
    </r>
    <r>
      <rPr>
        <b val="true"/>
        <sz val="13"/>
        <color rgb="FF000000"/>
        <rFont val="WenQuanYi Zen Hei"/>
        <family val="2"/>
      </rPr>
      <t xml:space="preserve">月〜令和</t>
    </r>
    <r>
      <rPr>
        <b val="true"/>
        <sz val="13"/>
        <color rgb="FF000000"/>
        <rFont val="Arial"/>
        <family val="0"/>
        <charset val="1"/>
      </rPr>
      <t xml:space="preserve">10</t>
    </r>
    <r>
      <rPr>
        <b val="true"/>
        <sz val="13"/>
        <color rgb="FF000000"/>
        <rFont val="WenQuanYi Zen Hei"/>
        <family val="2"/>
      </rPr>
      <t xml:space="preserve">年</t>
    </r>
    <r>
      <rPr>
        <b val="true"/>
        <sz val="13"/>
        <color rgb="FF000000"/>
        <rFont val="Arial"/>
        <family val="0"/>
        <charset val="1"/>
      </rPr>
      <t xml:space="preserve">3</t>
    </r>
    <r>
      <rPr>
        <b val="true"/>
        <sz val="13"/>
        <color rgb="FF000000"/>
        <rFont val="WenQuanYi Zen Hei"/>
        <family val="2"/>
      </rPr>
      <t xml:space="preserve">月・月次</t>
    </r>
    <r>
      <rPr>
        <b val="true"/>
        <sz val="13"/>
        <color rgb="FF000000"/>
        <rFont val="Arial"/>
        <family val="0"/>
        <charset val="1"/>
      </rPr>
      <t xml:space="preserve">)  ※</t>
    </r>
    <r>
      <rPr>
        <b val="true"/>
        <sz val="13"/>
        <color rgb="FF000000"/>
        <rFont val="WenQuanYi Zen Hei"/>
        <family val="2"/>
      </rPr>
      <t xml:space="preserve">令和</t>
    </r>
    <r>
      <rPr>
        <b val="true"/>
        <sz val="13"/>
        <color rgb="FF000000"/>
        <rFont val="Arial"/>
        <family val="0"/>
        <charset val="1"/>
      </rPr>
      <t xml:space="preserve">9</t>
    </r>
    <r>
      <rPr>
        <b val="true"/>
        <sz val="13"/>
        <color rgb="FF000000"/>
        <rFont val="WenQuanYi Zen Hei"/>
        <family val="2"/>
      </rPr>
      <t xml:space="preserve">年度</t>
    </r>
    <r>
      <rPr>
        <b val="true"/>
        <sz val="13"/>
        <color rgb="FF000000"/>
        <rFont val="Arial"/>
        <family val="0"/>
        <charset val="1"/>
      </rPr>
      <t xml:space="preserve">=</t>
    </r>
    <r>
      <rPr>
        <b val="true"/>
        <sz val="13"/>
        <color rgb="FF000000"/>
        <rFont val="WenQuanYi Zen Hei"/>
        <family val="2"/>
      </rPr>
      <t xml:space="preserve">令和</t>
    </r>
    <r>
      <rPr>
        <b val="true"/>
        <sz val="13"/>
        <color rgb="FF000000"/>
        <rFont val="Arial"/>
        <family val="0"/>
        <charset val="1"/>
      </rPr>
      <t xml:space="preserve">9</t>
    </r>
    <r>
      <rPr>
        <b val="true"/>
        <sz val="13"/>
        <color rgb="FF000000"/>
        <rFont val="WenQuanYi Zen Hei"/>
        <family val="2"/>
      </rPr>
      <t xml:space="preserve">年</t>
    </r>
    <r>
      <rPr>
        <b val="true"/>
        <sz val="13"/>
        <color rgb="FF000000"/>
        <rFont val="Arial"/>
        <family val="0"/>
        <charset val="1"/>
      </rPr>
      <t xml:space="preserve">4</t>
    </r>
    <r>
      <rPr>
        <b val="true"/>
        <sz val="13"/>
        <color rgb="FF000000"/>
        <rFont val="WenQuanYi Zen Hei"/>
        <family val="2"/>
      </rPr>
      <t xml:space="preserve">月〜令和</t>
    </r>
    <r>
      <rPr>
        <b val="true"/>
        <sz val="13"/>
        <color rgb="FF000000"/>
        <rFont val="Arial"/>
        <family val="0"/>
        <charset val="1"/>
      </rPr>
      <t xml:space="preserve">10</t>
    </r>
    <r>
      <rPr>
        <b val="true"/>
        <sz val="13"/>
        <color rgb="FF000000"/>
        <rFont val="WenQuanYi Zen Hei"/>
        <family val="2"/>
      </rPr>
      <t xml:space="preserve">年</t>
    </r>
    <r>
      <rPr>
        <b val="true"/>
        <sz val="13"/>
        <color rgb="FF000000"/>
        <rFont val="Arial"/>
        <family val="0"/>
        <charset val="1"/>
      </rPr>
      <t xml:space="preserve">3</t>
    </r>
    <r>
      <rPr>
        <b val="true"/>
        <sz val="13"/>
        <color rgb="FF000000"/>
        <rFont val="WenQuanYi Zen Hei"/>
        <family val="2"/>
      </rPr>
      <t xml:space="preserve">月</t>
    </r>
  </si>
  <si>
    <r>
      <rPr>
        <i val="true"/>
        <sz val="10"/>
        <color rgb="FF595959"/>
        <rFont val="WenQuanYi Zen Hei"/>
        <family val="2"/>
      </rPr>
      <t xml:space="preserve">単位</t>
    </r>
    <r>
      <rPr>
        <i val="true"/>
        <sz val="10"/>
        <color rgb="FF595959"/>
        <rFont val="Arial"/>
        <family val="0"/>
        <charset val="1"/>
      </rPr>
      <t xml:space="preserve">:</t>
    </r>
    <r>
      <rPr>
        <i val="true"/>
        <sz val="10"/>
        <color rgb="FF595959"/>
        <rFont val="WenQuanYi Zen Hei"/>
        <family val="2"/>
      </rPr>
      <t xml:space="preserve">千円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WenQuanYi Zen Hei"/>
        <family val="2"/>
      </rPr>
      <t xml:space="preserve">内部は円</t>
    </r>
    <r>
      <rPr>
        <i val="true"/>
        <sz val="10"/>
        <color rgb="FF595959"/>
        <rFont val="Arial"/>
        <family val="0"/>
        <charset val="1"/>
      </rPr>
      <t xml:space="preserve">)</t>
    </r>
    <r>
      <rPr>
        <i val="true"/>
        <sz val="10"/>
        <color rgb="FF595959"/>
        <rFont val="WenQuanYi Zen Hei"/>
        <family val="2"/>
      </rPr>
      <t xml:space="preserve">。青字・黄色</t>
    </r>
    <r>
      <rPr>
        <i val="true"/>
        <sz val="10"/>
        <color rgb="FF595959"/>
        <rFont val="Arial"/>
        <family val="0"/>
        <charset val="1"/>
      </rPr>
      <t xml:space="preserve">=</t>
    </r>
    <r>
      <rPr>
        <i val="true"/>
        <sz val="10"/>
        <color rgb="FF595959"/>
        <rFont val="WenQuanYi Zen Hei"/>
        <family val="2"/>
      </rPr>
      <t xml:space="preserve">手入力欄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WenQuanYi Zen Hei"/>
        <family val="2"/>
      </rPr>
      <t xml:space="preserve">土地売却・貸付金回収など臨時項目、初期値</t>
    </r>
    <r>
      <rPr>
        <i val="true"/>
        <sz val="10"/>
        <color rgb="FF595959"/>
        <rFont val="Arial"/>
        <family val="0"/>
        <charset val="1"/>
      </rPr>
      <t xml:space="preserve">0)</t>
    </r>
    <r>
      <rPr>
        <i val="true"/>
        <sz val="10"/>
        <color rgb="FF595959"/>
        <rFont val="WenQuanYi Zen Hei"/>
        <family val="2"/>
      </rPr>
      <t xml:space="preserve">。経費は支出ベースで減価償却費を除外。</t>
    </r>
  </si>
  <si>
    <r>
      <rPr>
        <b val="true"/>
        <sz val="10"/>
        <color rgb="FFFFFFFF"/>
        <rFont val="WenQuanYi Zen Hei"/>
        <family val="2"/>
      </rPr>
      <t xml:space="preserve">令和</t>
    </r>
    <r>
      <rPr>
        <b val="true"/>
        <sz val="10"/>
        <color rgb="FFFFFFFF"/>
        <rFont val="Arial"/>
        <family val="0"/>
        <charset val="1"/>
      </rPr>
      <t xml:space="preserve">8</t>
    </r>
    <r>
      <rPr>
        <b val="true"/>
        <sz val="10"/>
        <color rgb="FFFFFFFF"/>
        <rFont val="WenQuanYi Zen Hei"/>
        <family val="2"/>
      </rPr>
      <t xml:space="preserve">年度下期計</t>
    </r>
  </si>
  <si>
    <r>
      <rPr>
        <b val="true"/>
        <sz val="10"/>
        <color rgb="FFFFFFFF"/>
        <rFont val="WenQuanYi Zen Hei"/>
        <family val="2"/>
      </rPr>
      <t xml:space="preserve">令和</t>
    </r>
    <r>
      <rPr>
        <b val="true"/>
        <sz val="10"/>
        <color rgb="FFFFFFFF"/>
        <rFont val="Arial"/>
        <family val="0"/>
        <charset val="1"/>
      </rPr>
      <t xml:space="preserve">9</t>
    </r>
    <r>
      <rPr>
        <b val="true"/>
        <sz val="10"/>
        <color rgb="FFFFFFFF"/>
        <rFont val="WenQuanYi Zen Hei"/>
        <family val="2"/>
      </rPr>
      <t xml:space="preserve">年度計</t>
    </r>
  </si>
  <si>
    <t xml:space="preserve">年度</t>
  </si>
  <si>
    <r>
      <rPr>
        <b val="true"/>
        <sz val="10"/>
        <color rgb="FF000000"/>
        <rFont val="WenQuanYi Zen Hei"/>
        <family val="2"/>
      </rPr>
      <t xml:space="preserve">前月繰越現預金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社債なし</t>
    </r>
    <r>
      <rPr>
        <b val="true"/>
        <sz val="10"/>
        <color rgb="FF000000"/>
        <rFont val="Arial"/>
        <family val="0"/>
        <charset val="1"/>
      </rPr>
      <t xml:space="preserve">)</t>
    </r>
  </si>
  <si>
    <t xml:space="preserve">【収入】</t>
  </si>
  <si>
    <t xml:space="preserve">賃貸収入</t>
  </si>
  <si>
    <r>
      <rPr>
        <sz val="10"/>
        <color rgb="FF000000"/>
        <rFont val="WenQuanYi Zen Hei"/>
        <family val="2"/>
      </rPr>
      <t xml:space="preserve">その他売上</t>
    </r>
    <r>
      <rPr>
        <sz val="10"/>
        <color rgb="FF000000"/>
        <rFont val="Arial"/>
        <family val="0"/>
        <charset val="1"/>
      </rPr>
      <t xml:space="preserve">(4</t>
    </r>
    <r>
      <rPr>
        <sz val="10"/>
        <color rgb="FF000000"/>
        <rFont val="WenQuanYi Zen Hei"/>
        <family val="2"/>
      </rPr>
      <t xml:space="preserve">月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</si>
  <si>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土地・商品の売却収入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手入力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</si>
  <si>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貸付金・未収入金の回収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手入力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</si>
  <si>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その他臨時収入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手入力</t>
    </r>
    <r>
      <rPr>
        <sz val="10"/>
        <color rgb="FF000000"/>
        <rFont val="Arial"/>
        <family val="0"/>
        <charset val="1"/>
      </rPr>
      <t xml:space="preserve">)</t>
    </r>
  </si>
  <si>
    <t xml:space="preserve">収入計</t>
  </si>
  <si>
    <t xml:space="preserve">【支出】</t>
  </si>
  <si>
    <r>
      <rPr>
        <sz val="10"/>
        <color rgb="FF000000"/>
        <rFont val="WenQuanYi Zen Hei"/>
        <family val="2"/>
      </rPr>
      <t xml:space="preserve">消費税納付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令和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月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</si>
  <si>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長期未払金の支払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手入力・</t>
    </r>
    <r>
      <rPr>
        <sz val="10"/>
        <color rgb="FF000000"/>
        <rFont val="Arial"/>
        <family val="0"/>
        <charset val="1"/>
      </rPr>
      <t xml:space="preserve">4,691</t>
    </r>
    <r>
      <rPr>
        <sz val="10"/>
        <color rgb="FF000000"/>
        <rFont val="WenQuanYi Zen Hei"/>
        <family val="2"/>
      </rPr>
      <t xml:space="preserve">万円の期日未確認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</si>
  <si>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その他臨時支出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手入力</t>
    </r>
    <r>
      <rPr>
        <sz val="10"/>
        <color rgb="FF000000"/>
        <rFont val="Arial"/>
        <family val="0"/>
        <charset val="1"/>
      </rPr>
      <t xml:space="preserve">)</t>
    </r>
  </si>
  <si>
    <t xml:space="preserve">支出計</t>
  </si>
  <si>
    <r>
      <rPr>
        <b val="true"/>
        <sz val="10"/>
        <color rgb="FF000000"/>
        <rFont val="WenQuanYi Zen Hei"/>
        <family val="2"/>
      </rPr>
      <t xml:space="preserve">収支差額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社債なし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</si>
  <si>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000000"/>
        <rFont val="WenQuanYi Zen Hei"/>
        <family val="2"/>
      </rPr>
      <t xml:space="preserve">翌月繰越現預金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社債なし</t>
    </r>
    <r>
      <rPr>
        <b val="true"/>
        <sz val="10"/>
        <color rgb="FF000000"/>
        <rFont val="Arial"/>
        <family val="0"/>
        <charset val="1"/>
      </rPr>
      <t xml:space="preserve">) ①</t>
    </r>
  </si>
  <si>
    <r>
      <rPr>
        <b val="true"/>
        <sz val="10"/>
        <color rgb="FF000000"/>
        <rFont val="WenQuanYi Zen Hei"/>
        <family val="2"/>
      </rPr>
      <t xml:space="preserve">【社債</t>
    </r>
    <r>
      <rPr>
        <b val="true"/>
        <sz val="10"/>
        <color rgb="FF000000"/>
        <rFont val="Arial"/>
        <family val="0"/>
        <charset val="1"/>
      </rPr>
      <t xml:space="preserve">(25</t>
    </r>
    <r>
      <rPr>
        <b val="true"/>
        <sz val="10"/>
        <color rgb="FF000000"/>
        <rFont val="WenQuanYi Zen Hei"/>
        <family val="2"/>
      </rPr>
      <t xml:space="preserve">万</t>
    </r>
    <r>
      <rPr>
        <b val="true"/>
        <sz val="10"/>
        <color rgb="FF000000"/>
        <rFont val="Arial"/>
        <family val="0"/>
        <charset val="1"/>
      </rPr>
      <t xml:space="preserve">USD</t>
    </r>
    <r>
      <rPr>
        <b val="true"/>
        <sz val="10"/>
        <color rgb="FF000000"/>
        <rFont val="WenQuanYi Zen Hei"/>
        <family val="2"/>
      </rPr>
      <t xml:space="preserve">・</t>
    </r>
    <r>
      <rPr>
        <b val="true"/>
        <sz val="10"/>
        <color rgb="FF000000"/>
        <rFont val="Arial"/>
        <family val="0"/>
        <charset val="1"/>
      </rPr>
      <t xml:space="preserve">3</t>
    </r>
    <r>
      <rPr>
        <b val="true"/>
        <sz val="10"/>
        <color rgb="FF000000"/>
        <rFont val="WenQuanYi Zen Hei"/>
        <family val="2"/>
      </rPr>
      <t xml:space="preserve">年</t>
    </r>
    <r>
      <rPr>
        <b val="true"/>
        <sz val="10"/>
        <color rgb="FF000000"/>
        <rFont val="Arial"/>
        <family val="0"/>
        <charset val="1"/>
      </rPr>
      <t xml:space="preserve">)</t>
    </r>
    <r>
      <rPr>
        <b val="true"/>
        <sz val="10"/>
        <color rgb="FF000000"/>
        <rFont val="WenQuanYi Zen Hei"/>
        <family val="2"/>
      </rPr>
      <t xml:space="preserve">を購入した場合の追加キャッシュフロー】</t>
    </r>
  </si>
  <si>
    <t xml:space="preserve">社債購入代金</t>
  </si>
  <si>
    <r>
      <rPr>
        <sz val="10"/>
        <color rgb="FF000000"/>
        <rFont val="WenQuanYi Zen Hei"/>
        <family val="2"/>
      </rPr>
      <t xml:space="preserve">社債利息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源泉税引後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</si>
  <si>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社債償還金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令和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WenQuanYi Zen Hei"/>
        <family val="2"/>
      </rPr>
      <t xml:space="preserve">月のため対象期間外</t>
    </r>
    <r>
      <rPr>
        <sz val="10"/>
        <color rgb="FF000000"/>
        <rFont val="Arial"/>
        <family val="0"/>
        <charset val="1"/>
      </rPr>
      <t xml:space="preserve">)</t>
    </r>
  </si>
  <si>
    <t xml:space="preserve">社債によるキャッシュ増減</t>
  </si>
  <si>
    <t xml:space="preserve">社債の累計キャッシュ増減</t>
  </si>
  <si>
    <r>
      <rPr>
        <b val="true"/>
        <sz val="10"/>
        <color rgb="FF000000"/>
        <rFont val="WenQuanYi Zen Hei"/>
        <family val="2"/>
      </rPr>
      <t xml:space="preserve">翌月繰越現預金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社債あり</t>
    </r>
    <r>
      <rPr>
        <b val="true"/>
        <sz val="10"/>
        <color rgb="FF000000"/>
        <rFont val="Arial"/>
        <family val="0"/>
        <charset val="1"/>
      </rPr>
      <t xml:space="preserve">) ②</t>
    </r>
  </si>
  <si>
    <r>
      <rPr>
        <sz val="10"/>
        <color rgb="FF000000"/>
        <rFont val="WenQuanYi Zen Hei"/>
        <family val="2"/>
      </rPr>
      <t xml:space="preserve">差額</t>
    </r>
    <r>
      <rPr>
        <sz val="10"/>
        <color rgb="FF000000"/>
        <rFont val="Arial"/>
        <family val="0"/>
        <charset val="1"/>
      </rPr>
      <t xml:space="preserve">(②−①)</t>
    </r>
  </si>
  <si>
    <r>
      <rPr>
        <i val="true"/>
        <sz val="10"/>
        <color rgb="FF595959"/>
        <rFont val="WenQuanYi Zen Hei"/>
        <family val="2"/>
      </rPr>
      <t xml:space="preserve">※社債は購入月に代金を全額支出、利息は源泉税</t>
    </r>
    <r>
      <rPr>
        <i val="true"/>
        <sz val="10"/>
        <color rgb="FF595959"/>
        <rFont val="Arial"/>
        <family val="0"/>
        <charset val="1"/>
      </rPr>
      <t xml:space="preserve">15.315%</t>
    </r>
    <r>
      <rPr>
        <i val="true"/>
        <sz val="10"/>
        <color rgb="FF595959"/>
        <rFont val="WenQuanYi Zen Hei"/>
        <family val="2"/>
      </rPr>
      <t xml:space="preserve">控除後で入金する前提。源泉税は欠損のため法人税申告で還付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WenQuanYi Zen Hei"/>
        <family val="2"/>
      </rPr>
      <t xml:space="preserve">決算後</t>
    </r>
    <r>
      <rPr>
        <i val="true"/>
        <sz val="10"/>
        <color rgb="FF595959"/>
        <rFont val="Arial"/>
        <family val="0"/>
        <charset val="1"/>
      </rPr>
      <t xml:space="preserve">)</t>
    </r>
    <r>
      <rPr>
        <i val="true"/>
        <sz val="10"/>
        <color rgb="FF595959"/>
        <rFont val="WenQuanYi Zen Hei"/>
        <family val="2"/>
      </rPr>
      <t xml:space="preserve">となり、この表には含めていません。</t>
    </r>
  </si>
  <si>
    <r>
      <rPr>
        <i val="true"/>
        <sz val="10"/>
        <color rgb="FF595959"/>
        <rFont val="WenQuanYi Zen Hei"/>
        <family val="2"/>
      </rPr>
      <t xml:space="preserve">※下期</t>
    </r>
    <r>
      <rPr>
        <i val="true"/>
        <sz val="10"/>
        <color rgb="FF595959"/>
        <rFont val="Arial"/>
        <family val="0"/>
        <charset val="1"/>
      </rPr>
      <t xml:space="preserve">(10</t>
    </r>
    <r>
      <rPr>
        <i val="true"/>
        <sz val="10"/>
        <color rgb="FF595959"/>
        <rFont val="WenQuanYi Zen Hei"/>
        <family val="2"/>
      </rPr>
      <t xml:space="preserve">〜</t>
    </r>
    <r>
      <rPr>
        <i val="true"/>
        <sz val="10"/>
        <color rgb="FF595959"/>
        <rFont val="Arial"/>
        <family val="0"/>
        <charset val="1"/>
      </rPr>
      <t xml:space="preserve">3</t>
    </r>
    <r>
      <rPr>
        <i val="true"/>
        <sz val="10"/>
        <color rgb="FF595959"/>
        <rFont val="WenQuanYi Zen Hei"/>
        <family val="2"/>
      </rPr>
      <t xml:space="preserve">月</t>
    </r>
    <r>
      <rPr>
        <i val="true"/>
        <sz val="10"/>
        <color rgb="FF595959"/>
        <rFont val="Arial"/>
        <family val="0"/>
        <charset val="1"/>
      </rPr>
      <t xml:space="preserve">)</t>
    </r>
    <r>
      <rPr>
        <i val="true"/>
        <sz val="10"/>
        <color rgb="FF595959"/>
        <rFont val="WenQuanYi Zen Hei"/>
        <family val="2"/>
      </rPr>
      <t xml:space="preserve">の月次実績は資料になく、経費は</t>
    </r>
    <r>
      <rPr>
        <i val="true"/>
        <sz val="10"/>
        <color rgb="FF595959"/>
        <rFont val="Arial"/>
        <family val="0"/>
        <charset val="1"/>
      </rPr>
      <t xml:space="preserve">5</t>
    </r>
    <r>
      <rPr>
        <i val="true"/>
        <sz val="10"/>
        <color rgb="FF595959"/>
        <rFont val="WenQuanYi Zen Hei"/>
        <family val="2"/>
      </rPr>
      <t xml:space="preserve">〜</t>
    </r>
    <r>
      <rPr>
        <i val="true"/>
        <sz val="10"/>
        <color rgb="FF595959"/>
        <rFont val="Arial"/>
        <family val="0"/>
        <charset val="1"/>
      </rPr>
      <t xml:space="preserve">9</t>
    </r>
    <r>
      <rPr>
        <i val="true"/>
        <sz val="10"/>
        <color rgb="FF595959"/>
        <rFont val="WenQuanYi Zen Hei"/>
        <family val="2"/>
      </rPr>
      <t xml:space="preserve">月の中央値、収入は直近</t>
    </r>
    <r>
      <rPr>
        <i val="true"/>
        <sz val="10"/>
        <color rgb="FF595959"/>
        <rFont val="Arial"/>
        <family val="0"/>
        <charset val="1"/>
      </rPr>
      <t xml:space="preserve">3</t>
    </r>
    <r>
      <rPr>
        <i val="true"/>
        <sz val="10"/>
        <color rgb="FF595959"/>
        <rFont val="WenQuanYi Zen Hei"/>
        <family val="2"/>
      </rPr>
      <t xml:space="preserve">か月平均で置いた保守的な見積りです。土地売却・貸付金回収は黄色欄に入力すると反映されます。</t>
    </r>
  </si>
  <si>
    <r>
      <rPr>
        <b val="true"/>
        <sz val="13"/>
        <color rgb="FF000000"/>
        <rFont val="WenQuanYi Zen Hei"/>
        <family val="2"/>
      </rPr>
      <t xml:space="preserve">経費の内訳</t>
    </r>
    <r>
      <rPr>
        <b val="true"/>
        <sz val="13"/>
        <color rgb="FF000000"/>
        <rFont val="Arial"/>
        <family val="0"/>
        <charset val="1"/>
      </rPr>
      <t xml:space="preserve">(</t>
    </r>
    <r>
      <rPr>
        <b val="true"/>
        <sz val="13"/>
        <color rgb="FF000000"/>
        <rFont val="WenQuanYi Zen Hei"/>
        <family val="2"/>
      </rPr>
      <t xml:space="preserve">令和</t>
    </r>
    <r>
      <rPr>
        <b val="true"/>
        <sz val="13"/>
        <color rgb="FF000000"/>
        <rFont val="Arial"/>
        <family val="0"/>
        <charset val="1"/>
      </rPr>
      <t xml:space="preserve">8</t>
    </r>
    <r>
      <rPr>
        <b val="true"/>
        <sz val="13"/>
        <color rgb="FF000000"/>
        <rFont val="WenQuanYi Zen Hei"/>
        <family val="2"/>
      </rPr>
      <t xml:space="preserve">年度 </t>
    </r>
    <r>
      <rPr>
        <b val="true"/>
        <sz val="13"/>
        <color rgb="FF000000"/>
        <rFont val="Arial"/>
        <family val="0"/>
        <charset val="1"/>
      </rPr>
      <t xml:space="preserve">4</t>
    </r>
    <r>
      <rPr>
        <b val="true"/>
        <sz val="13"/>
        <color rgb="FF000000"/>
        <rFont val="WenQuanYi Zen Hei"/>
        <family val="2"/>
      </rPr>
      <t xml:space="preserve">〜</t>
    </r>
    <r>
      <rPr>
        <b val="true"/>
        <sz val="13"/>
        <color rgb="FF000000"/>
        <rFont val="Arial"/>
        <family val="0"/>
        <charset val="1"/>
      </rPr>
      <t xml:space="preserve">9</t>
    </r>
    <r>
      <rPr>
        <b val="true"/>
        <sz val="13"/>
        <color rgb="FF000000"/>
        <rFont val="WenQuanYi Zen Hei"/>
        <family val="2"/>
      </rPr>
      <t xml:space="preserve">月実績と前年同期比</t>
    </r>
    <r>
      <rPr>
        <b val="true"/>
        <sz val="13"/>
        <color rgb="FF000000"/>
        <rFont val="Arial"/>
        <family val="0"/>
        <charset val="1"/>
      </rPr>
      <t xml:space="preserve">)</t>
    </r>
  </si>
  <si>
    <r>
      <rPr>
        <i val="true"/>
        <sz val="10"/>
        <color rgb="FF595959"/>
        <rFont val="WenQuanYi Zen Hei"/>
        <family val="2"/>
      </rPr>
      <t xml:space="preserve">出典</t>
    </r>
    <r>
      <rPr>
        <i val="true"/>
        <sz val="10"/>
        <color rgb="FF595959"/>
        <rFont val="Arial"/>
        <family val="0"/>
        <charset val="1"/>
      </rPr>
      <t xml:space="preserve">: </t>
    </r>
    <r>
      <rPr>
        <i val="true"/>
        <sz val="10"/>
        <color rgb="FF595959"/>
        <rFont val="WenQuanYi Zen Hei"/>
        <family val="2"/>
      </rPr>
      <t xml:space="preserve">残高推移表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WenQuanYi Zen Hei"/>
        <family val="2"/>
      </rPr>
      <t xml:space="preserve">令和</t>
    </r>
    <r>
      <rPr>
        <i val="true"/>
        <sz val="10"/>
        <color rgb="FF595959"/>
        <rFont val="Arial"/>
        <family val="0"/>
        <charset val="1"/>
      </rPr>
      <t xml:space="preserve">7</t>
    </r>
    <r>
      <rPr>
        <i val="true"/>
        <sz val="10"/>
        <color rgb="FF595959"/>
        <rFont val="WenQuanYi Zen Hei"/>
        <family val="2"/>
      </rPr>
      <t xml:space="preserve">年度・</t>
    </r>
    <r>
      <rPr>
        <i val="true"/>
        <sz val="10"/>
        <color rgb="FF595959"/>
        <rFont val="Arial"/>
        <family val="0"/>
        <charset val="1"/>
      </rPr>
      <t xml:space="preserve">8</t>
    </r>
    <r>
      <rPr>
        <i val="true"/>
        <sz val="10"/>
        <color rgb="FF595959"/>
        <rFont val="WenQuanYi Zen Hei"/>
        <family val="2"/>
      </rPr>
      <t xml:space="preserve">年度の</t>
    </r>
    <r>
      <rPr>
        <i val="true"/>
        <sz val="10"/>
        <color rgb="FF595959"/>
        <rFont val="Arial"/>
        <family val="0"/>
        <charset val="1"/>
      </rPr>
      <t xml:space="preserve">4</t>
    </r>
    <r>
      <rPr>
        <i val="true"/>
        <sz val="10"/>
        <color rgb="FF595959"/>
        <rFont val="WenQuanYi Zen Hei"/>
        <family val="2"/>
      </rPr>
      <t xml:space="preserve">〜</t>
    </r>
    <r>
      <rPr>
        <i val="true"/>
        <sz val="10"/>
        <color rgb="FF595959"/>
        <rFont val="Arial"/>
        <family val="0"/>
        <charset val="1"/>
      </rPr>
      <t xml:space="preserve">9</t>
    </r>
    <r>
      <rPr>
        <i val="true"/>
        <sz val="10"/>
        <color rgb="FF595959"/>
        <rFont val="WenQuanYi Zen Hei"/>
        <family val="2"/>
      </rPr>
      <t xml:space="preserve">月累計</t>
    </r>
    <r>
      <rPr>
        <i val="true"/>
        <sz val="10"/>
        <color rgb="FF595959"/>
        <rFont val="Arial"/>
        <family val="0"/>
        <charset val="1"/>
      </rPr>
      <t xml:space="preserve">)</t>
    </r>
    <r>
      <rPr>
        <i val="true"/>
        <sz val="10"/>
        <color rgb="FF595959"/>
        <rFont val="WenQuanYi Zen Hei"/>
        <family val="2"/>
      </rPr>
      <t xml:space="preserve">。金額は円。令和</t>
    </r>
    <r>
      <rPr>
        <i val="true"/>
        <sz val="10"/>
        <color rgb="FF595959"/>
        <rFont val="Arial"/>
        <family val="0"/>
        <charset val="1"/>
      </rPr>
      <t xml:space="preserve">8</t>
    </r>
    <r>
      <rPr>
        <i val="true"/>
        <sz val="10"/>
        <color rgb="FF595959"/>
        <rFont val="WenQuanYi Zen Hei"/>
        <family val="2"/>
      </rPr>
      <t xml:space="preserve">年度は実績シートから参照。</t>
    </r>
  </si>
  <si>
    <t xml:space="preserve">科目</t>
  </si>
  <si>
    <r>
      <rPr>
        <b val="true"/>
        <sz val="10"/>
        <color rgb="FFFFFFFF"/>
        <rFont val="WenQuanYi Zen Hei"/>
        <family val="2"/>
      </rPr>
      <t xml:space="preserve">令和</t>
    </r>
    <r>
      <rPr>
        <b val="true"/>
        <sz val="10"/>
        <color rgb="FFFFFFFF"/>
        <rFont val="Arial"/>
        <family val="0"/>
        <charset val="1"/>
      </rPr>
      <t xml:space="preserve">7</t>
    </r>
    <r>
      <rPr>
        <b val="true"/>
        <sz val="10"/>
        <color rgb="FFFFFFFF"/>
        <rFont val="WenQuanYi Zen Hei"/>
        <family val="2"/>
      </rPr>
      <t xml:space="preserve">年度 </t>
    </r>
    <r>
      <rPr>
        <b val="true"/>
        <sz val="10"/>
        <color rgb="FFFFFFFF"/>
        <rFont val="Arial"/>
        <family val="0"/>
        <charset val="1"/>
      </rPr>
      <t xml:space="preserve">4</t>
    </r>
    <r>
      <rPr>
        <b val="true"/>
        <sz val="10"/>
        <color rgb="FFFFFFFF"/>
        <rFont val="WenQuanYi Zen Hei"/>
        <family val="2"/>
      </rPr>
      <t xml:space="preserve">〜</t>
    </r>
    <r>
      <rPr>
        <b val="true"/>
        <sz val="10"/>
        <color rgb="FFFFFFFF"/>
        <rFont val="Arial"/>
        <family val="0"/>
        <charset val="1"/>
      </rPr>
      <t xml:space="preserve">9</t>
    </r>
    <r>
      <rPr>
        <b val="true"/>
        <sz val="10"/>
        <color rgb="FFFFFFFF"/>
        <rFont val="WenQuanYi Zen Hei"/>
        <family val="2"/>
      </rPr>
      <t xml:space="preserve">月</t>
    </r>
  </si>
  <si>
    <r>
      <rPr>
        <b val="true"/>
        <sz val="10"/>
        <color rgb="FFFFFFFF"/>
        <rFont val="WenQuanYi Zen Hei"/>
        <family val="2"/>
      </rPr>
      <t xml:space="preserve">令和</t>
    </r>
    <r>
      <rPr>
        <b val="true"/>
        <sz val="10"/>
        <color rgb="FFFFFFFF"/>
        <rFont val="Arial"/>
        <family val="0"/>
        <charset val="1"/>
      </rPr>
      <t xml:space="preserve">8</t>
    </r>
    <r>
      <rPr>
        <b val="true"/>
        <sz val="10"/>
        <color rgb="FFFFFFFF"/>
        <rFont val="WenQuanYi Zen Hei"/>
        <family val="2"/>
      </rPr>
      <t xml:space="preserve">年度 </t>
    </r>
    <r>
      <rPr>
        <b val="true"/>
        <sz val="10"/>
        <color rgb="FFFFFFFF"/>
        <rFont val="Arial"/>
        <family val="0"/>
        <charset val="1"/>
      </rPr>
      <t xml:space="preserve">4</t>
    </r>
    <r>
      <rPr>
        <b val="true"/>
        <sz val="10"/>
        <color rgb="FFFFFFFF"/>
        <rFont val="WenQuanYi Zen Hei"/>
        <family val="2"/>
      </rPr>
      <t xml:space="preserve">〜</t>
    </r>
    <r>
      <rPr>
        <b val="true"/>
        <sz val="10"/>
        <color rgb="FFFFFFFF"/>
        <rFont val="Arial"/>
        <family val="0"/>
        <charset val="1"/>
      </rPr>
      <t xml:space="preserve">9</t>
    </r>
    <r>
      <rPr>
        <b val="true"/>
        <sz val="10"/>
        <color rgb="FFFFFFFF"/>
        <rFont val="WenQuanYi Zen Hei"/>
        <family val="2"/>
      </rPr>
      <t xml:space="preserve">月</t>
    </r>
  </si>
  <si>
    <t xml:space="preserve">増減</t>
  </si>
  <si>
    <t xml:space="preserve">増減率</t>
  </si>
  <si>
    <r>
      <rPr>
        <b val="true"/>
        <sz val="10"/>
        <color rgb="FFFFFFFF"/>
        <rFont val="WenQuanYi Zen Hei"/>
        <family val="2"/>
      </rPr>
      <t xml:space="preserve">構成比</t>
    </r>
    <r>
      <rPr>
        <b val="true"/>
        <sz val="10"/>
        <color rgb="FFFFFFFF"/>
        <rFont val="Arial"/>
        <family val="0"/>
        <charset val="1"/>
      </rPr>
      <t xml:space="preserve">(R8</t>
    </r>
    <r>
      <rPr>
        <b val="true"/>
        <sz val="10"/>
        <color rgb="FFFFFFFF"/>
        <rFont val="WenQuanYi Zen Hei"/>
        <family val="2"/>
      </rPr>
      <t xml:space="preserve">・減価償却除く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</si>
  <si>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月平均</t>
    </r>
    <r>
      <rPr>
        <b val="true"/>
        <sz val="10"/>
        <color rgb="FFFFFFFF"/>
        <rFont val="Arial"/>
        <family val="0"/>
        <charset val="1"/>
      </rPr>
      <t xml:space="preserve">(R8)</t>
    </r>
  </si>
  <si>
    <t xml:space="preserve">コメント</t>
  </si>
  <si>
    <r>
      <rPr>
        <sz val="10"/>
        <color rgb="FF595959"/>
        <rFont val="WenQuanYi Zen Hei"/>
        <family val="2"/>
      </rPr>
      <t xml:space="preserve">最大の経費</t>
    </r>
    <r>
      <rPr>
        <sz val="10"/>
        <color rgb="FF595959"/>
        <rFont val="Arial"/>
        <family val="0"/>
        <charset val="1"/>
      </rPr>
      <t xml:space="preserve">(</t>
    </r>
    <r>
      <rPr>
        <sz val="10"/>
        <color rgb="FF595959"/>
        <rFont val="WenQuanYi Zen Hei"/>
        <family val="2"/>
      </rPr>
      <t xml:space="preserve">約</t>
    </r>
    <r>
      <rPr>
        <sz val="10"/>
        <color rgb="FF595959"/>
        <rFont val="Arial"/>
        <family val="0"/>
        <charset val="1"/>
      </rPr>
      <t xml:space="preserve">3</t>
    </r>
    <r>
      <rPr>
        <sz val="10"/>
        <color rgb="FF595959"/>
        <rFont val="WenQuanYi Zen Hei"/>
        <family val="2"/>
      </rPr>
      <t xml:space="preserve">割</t>
    </r>
    <r>
      <rPr>
        <sz val="10"/>
        <color rgb="FF595959"/>
        <rFont val="Arial"/>
        <family val="0"/>
        <charset val="1"/>
      </rPr>
      <t xml:space="preserve">)</t>
    </r>
    <r>
      <rPr>
        <sz val="10"/>
        <color rgb="FF595959"/>
        <rFont val="WenQuanYi Zen Hei"/>
        <family val="2"/>
      </rPr>
      <t xml:space="preserve">。納付月にばらつき。</t>
    </r>
    <r>
      <rPr>
        <sz val="10"/>
        <color rgb="FF595959"/>
        <rFont val="Arial"/>
        <family val="0"/>
        <charset val="1"/>
      </rPr>
      <t xml:space="preserve">BS</t>
    </r>
    <r>
      <rPr>
        <sz val="10"/>
        <color rgb="FF595959"/>
        <rFont val="WenQuanYi Zen Hei"/>
        <family val="2"/>
      </rPr>
      <t xml:space="preserve">前払費用が上期に</t>
    </r>
    <r>
      <rPr>
        <sz val="10"/>
        <color rgb="FF595959"/>
        <rFont val="Arial"/>
        <family val="0"/>
        <charset val="1"/>
      </rPr>
      <t xml:space="preserve">+840</t>
    </r>
    <r>
      <rPr>
        <sz val="10"/>
        <color rgb="FF595959"/>
        <rFont val="WenQuanYi Zen Hei"/>
        <family val="2"/>
      </rPr>
      <t xml:space="preserve">万円増加しており、支払額は費用計上額より多い可能性。払込スケジュールを要確認</t>
    </r>
  </si>
  <si>
    <r>
      <rPr>
        <sz val="10"/>
        <color rgb="FF595959"/>
        <rFont val="WenQuanYi Zen Hei"/>
        <family val="2"/>
      </rPr>
      <t xml:space="preserve">月</t>
    </r>
    <r>
      <rPr>
        <sz val="10"/>
        <color rgb="FF595959"/>
        <rFont val="Arial"/>
        <family val="0"/>
        <charset val="1"/>
      </rPr>
      <t xml:space="preserve">90</t>
    </r>
    <r>
      <rPr>
        <sz val="10"/>
        <color rgb="FF595959"/>
        <rFont val="WenQuanYi Zen Hei"/>
        <family val="2"/>
      </rPr>
      <t xml:space="preserve">万円</t>
    </r>
    <r>
      <rPr>
        <sz val="10"/>
        <color rgb="FF595959"/>
        <rFont val="Arial"/>
        <family val="0"/>
        <charset val="1"/>
      </rPr>
      <t xml:space="preserve">+9</t>
    </r>
    <r>
      <rPr>
        <sz val="10"/>
        <color rgb="FF595959"/>
        <rFont val="WenQuanYi Zen Hei"/>
        <family val="2"/>
      </rPr>
      <t xml:space="preserve">月に</t>
    </r>
    <r>
      <rPr>
        <sz val="10"/>
        <color rgb="FF595959"/>
        <rFont val="Arial"/>
        <family val="0"/>
        <charset val="1"/>
      </rPr>
      <t xml:space="preserve">150</t>
    </r>
    <r>
      <rPr>
        <sz val="10"/>
        <color rgb="FF595959"/>
        <rFont val="WenQuanYi Zen Hei"/>
        <family val="2"/>
      </rPr>
      <t xml:space="preserve">万円の上乗せ</t>
    </r>
    <r>
      <rPr>
        <sz val="10"/>
        <color rgb="FF595959"/>
        <rFont val="Arial"/>
        <family val="0"/>
        <charset val="1"/>
      </rPr>
      <t xml:space="preserve">(</t>
    </r>
    <r>
      <rPr>
        <sz val="10"/>
        <color rgb="FF595959"/>
        <rFont val="WenQuanYi Zen Hei"/>
        <family val="2"/>
      </rPr>
      <t xml:space="preserve">前年同額</t>
    </r>
    <r>
      <rPr>
        <sz val="10"/>
        <color rgb="FF595959"/>
        <rFont val="Arial"/>
        <family val="0"/>
        <charset val="1"/>
      </rPr>
      <t xml:space="preserve">)</t>
    </r>
  </si>
  <si>
    <t xml:space="preserve">接待交際費</t>
  </si>
  <si>
    <r>
      <rPr>
        <sz val="10"/>
        <color rgb="FF595959"/>
        <rFont val="WenQuanYi Zen Hei"/>
        <family val="2"/>
      </rPr>
      <t xml:space="preserve">前年比</t>
    </r>
    <r>
      <rPr>
        <sz val="10"/>
        <color rgb="FF595959"/>
        <rFont val="Arial"/>
        <family val="0"/>
        <charset val="1"/>
      </rPr>
      <t xml:space="preserve">+86</t>
    </r>
    <r>
      <rPr>
        <sz val="10"/>
        <color rgb="FF595959"/>
        <rFont val="WenQuanYi Zen Hei"/>
        <family val="2"/>
      </rPr>
      <t xml:space="preserve">万円</t>
    </r>
  </si>
  <si>
    <r>
      <rPr>
        <sz val="10"/>
        <color rgb="FF595959"/>
        <rFont val="Arial"/>
        <family val="0"/>
        <charset val="1"/>
      </rPr>
      <t xml:space="preserve">4</t>
    </r>
    <r>
      <rPr>
        <sz val="10"/>
        <color rgb="FF595959"/>
        <rFont val="WenQuanYi Zen Hei"/>
        <family val="2"/>
      </rPr>
      <t xml:space="preserve">〜</t>
    </r>
    <r>
      <rPr>
        <sz val="10"/>
        <color rgb="FF595959"/>
        <rFont val="Arial"/>
        <family val="0"/>
        <charset val="1"/>
      </rPr>
      <t xml:space="preserve">5</t>
    </r>
    <r>
      <rPr>
        <sz val="10"/>
        <color rgb="FF595959"/>
        <rFont val="WenQuanYi Zen Hei"/>
        <family val="2"/>
      </rPr>
      <t xml:space="preserve">月に集中</t>
    </r>
    <r>
      <rPr>
        <sz val="10"/>
        <color rgb="FF595959"/>
        <rFont val="Arial"/>
        <family val="0"/>
        <charset val="1"/>
      </rPr>
      <t xml:space="preserve">(</t>
    </r>
    <r>
      <rPr>
        <sz val="10"/>
        <color rgb="FF595959"/>
        <rFont val="WenQuanYi Zen Hei"/>
        <family val="2"/>
      </rPr>
      <t xml:space="preserve">固定資産税等</t>
    </r>
    <r>
      <rPr>
        <sz val="10"/>
        <color rgb="FF595959"/>
        <rFont val="Arial"/>
        <family val="0"/>
        <charset val="1"/>
      </rPr>
      <t xml:space="preserve">)</t>
    </r>
    <r>
      <rPr>
        <sz val="10"/>
        <color rgb="FF595959"/>
        <rFont val="WenQuanYi Zen Hei"/>
        <family val="2"/>
      </rPr>
      <t xml:space="preserve">。下期はほぼ発生しない実績パターン</t>
    </r>
  </si>
  <si>
    <t xml:space="preserve">事務員給与</t>
  </si>
  <si>
    <r>
      <rPr>
        <sz val="10"/>
        <color rgb="FF595959"/>
        <rFont val="WenQuanYi Zen Hei"/>
        <family val="2"/>
      </rPr>
      <t xml:space="preserve">前年は</t>
    </r>
    <r>
      <rPr>
        <sz val="10"/>
        <color rgb="FF595959"/>
        <rFont val="Arial"/>
        <family val="0"/>
        <charset val="1"/>
      </rPr>
      <t xml:space="preserve">6</t>
    </r>
    <r>
      <rPr>
        <sz val="10"/>
        <color rgb="FF595959"/>
        <rFont val="WenQuanYi Zen Hei"/>
        <family val="2"/>
      </rPr>
      <t xml:space="preserve">月・</t>
    </r>
    <r>
      <rPr>
        <sz val="10"/>
        <color rgb="FF595959"/>
        <rFont val="Arial"/>
        <family val="0"/>
        <charset val="1"/>
      </rPr>
      <t xml:space="preserve">7</t>
    </r>
    <r>
      <rPr>
        <sz val="10"/>
        <color rgb="FF595959"/>
        <rFont val="WenQuanYi Zen Hei"/>
        <family val="2"/>
      </rPr>
      <t xml:space="preserve">月に増加があり今期は減少</t>
    </r>
  </si>
  <si>
    <t xml:space="preserve">厚生費</t>
  </si>
  <si>
    <r>
      <rPr>
        <sz val="10"/>
        <color rgb="FF595959"/>
        <rFont val="WenQuanYi Zen Hei"/>
        <family val="2"/>
      </rPr>
      <t xml:space="preserve">前年比</t>
    </r>
    <r>
      <rPr>
        <sz val="10"/>
        <color rgb="FF595959"/>
        <rFont val="Arial"/>
        <family val="0"/>
        <charset val="1"/>
      </rPr>
      <t xml:space="preserve">+100</t>
    </r>
    <r>
      <rPr>
        <sz val="10"/>
        <color rgb="FF595959"/>
        <rFont val="WenQuanYi Zen Hei"/>
        <family val="2"/>
      </rPr>
      <t xml:space="preserve">万円</t>
    </r>
    <r>
      <rPr>
        <sz val="10"/>
        <color rgb="FF595959"/>
        <rFont val="Arial"/>
        <family val="0"/>
        <charset val="1"/>
      </rPr>
      <t xml:space="preserve">(+26%)</t>
    </r>
  </si>
  <si>
    <t xml:space="preserve">通信交通費</t>
  </si>
  <si>
    <t xml:space="preserve">水道光熱費</t>
  </si>
  <si>
    <t xml:space="preserve">諸会費</t>
  </si>
  <si>
    <t xml:space="preserve">法定福利費</t>
  </si>
  <si>
    <t xml:space="preserve">管理諸費</t>
  </si>
  <si>
    <r>
      <rPr>
        <sz val="10"/>
        <color rgb="FF595959"/>
        <rFont val="WenQuanYi Zen Hei"/>
        <family val="2"/>
      </rPr>
      <t xml:space="preserve">前年</t>
    </r>
    <r>
      <rPr>
        <sz val="10"/>
        <color rgb="FF595959"/>
        <rFont val="Arial"/>
        <family val="0"/>
        <charset val="1"/>
      </rPr>
      <t xml:space="preserve">7</t>
    </r>
    <r>
      <rPr>
        <sz val="10"/>
        <color rgb="FF595959"/>
        <rFont val="WenQuanYi Zen Hei"/>
        <family val="2"/>
      </rPr>
      <t xml:space="preserve">月に</t>
    </r>
    <r>
      <rPr>
        <sz val="10"/>
        <color rgb="FF595959"/>
        <rFont val="Arial"/>
        <family val="0"/>
        <charset val="1"/>
      </rPr>
      <t xml:space="preserve">113</t>
    </r>
    <r>
      <rPr>
        <sz val="10"/>
        <color rgb="FF595959"/>
        <rFont val="WenQuanYi Zen Hei"/>
        <family val="2"/>
      </rPr>
      <t xml:space="preserve">万円の臨時計上があり今期は減少</t>
    </r>
  </si>
  <si>
    <t xml:space="preserve">雑費</t>
  </si>
  <si>
    <t xml:space="preserve">従業員賞与</t>
  </si>
  <si>
    <t xml:space="preserve">備品消耗品費</t>
  </si>
  <si>
    <r>
      <rPr>
        <sz val="10"/>
        <color rgb="FF595959"/>
        <rFont val="Arial"/>
        <family val="0"/>
        <charset val="1"/>
      </rPr>
      <t xml:space="preserve">8</t>
    </r>
    <r>
      <rPr>
        <sz val="10"/>
        <color rgb="FF595959"/>
        <rFont val="WenQuanYi Zen Hei"/>
        <family val="2"/>
      </rPr>
      <t xml:space="preserve">〜</t>
    </r>
    <r>
      <rPr>
        <sz val="10"/>
        <color rgb="FF595959"/>
        <rFont val="Arial"/>
        <family val="0"/>
        <charset val="1"/>
      </rPr>
      <t xml:space="preserve">9</t>
    </r>
    <r>
      <rPr>
        <sz val="10"/>
        <color rgb="FF595959"/>
        <rFont val="WenQuanYi Zen Hei"/>
        <family val="2"/>
      </rPr>
      <t xml:space="preserve">月に増加</t>
    </r>
    <r>
      <rPr>
        <sz val="10"/>
        <color rgb="FF595959"/>
        <rFont val="Arial"/>
        <family val="0"/>
        <charset val="1"/>
      </rPr>
      <t xml:space="preserve">(</t>
    </r>
    <r>
      <rPr>
        <sz val="10"/>
        <color rgb="FF595959"/>
        <rFont val="WenQuanYi Zen Hei"/>
        <family val="2"/>
      </rPr>
      <t xml:space="preserve">前年比</t>
    </r>
    <r>
      <rPr>
        <sz val="10"/>
        <color rgb="FF595959"/>
        <rFont val="Arial"/>
        <family val="0"/>
        <charset val="1"/>
      </rPr>
      <t xml:space="preserve">+83%)</t>
    </r>
  </si>
  <si>
    <t xml:space="preserve">修繕費</t>
  </si>
  <si>
    <t xml:space="preserve">事務用消耗品費</t>
  </si>
  <si>
    <t xml:space="preserve">広告宣伝費</t>
  </si>
  <si>
    <t xml:space="preserve">新聞図書費</t>
  </si>
  <si>
    <t xml:space="preserve">寄付金</t>
  </si>
  <si>
    <r>
      <rPr>
        <b val="true"/>
        <sz val="10"/>
        <color rgb="FF000000"/>
        <rFont val="WenQuanYi Zen Hei"/>
        <family val="2"/>
      </rPr>
      <t xml:space="preserve">経費計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減価償却費を除く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</si>
  <si>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減価償却費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非資金・参考</t>
    </r>
    <r>
      <rPr>
        <sz val="10"/>
        <color rgb="FF000000"/>
        <rFont val="Arial"/>
        <family val="0"/>
        <charset val="1"/>
      </rPr>
      <t xml:space="preserve">)</t>
    </r>
  </si>
  <si>
    <r>
      <rPr>
        <b val="true"/>
        <sz val="11"/>
        <color rgb="FF000000"/>
        <rFont val="WenQuanYi Zen Hei"/>
        <family val="2"/>
      </rPr>
      <t xml:space="preserve">資金繰り表での見積り</t>
    </r>
    <r>
      <rPr>
        <b val="true"/>
        <sz val="11"/>
        <color rgb="FF000000"/>
        <rFont val="Arial"/>
        <family val="0"/>
        <charset val="1"/>
      </rPr>
      <t xml:space="preserve">(</t>
    </r>
    <r>
      <rPr>
        <b val="true"/>
        <sz val="11"/>
        <color rgb="FF000000"/>
        <rFont val="WenQuanYi Zen Hei"/>
        <family val="2"/>
      </rPr>
      <t xml:space="preserve">グループ別</t>
    </r>
    <r>
      <rPr>
        <b val="true"/>
        <sz val="11"/>
        <color rgb="FF000000"/>
        <rFont val="Arial"/>
        <family val="0"/>
        <charset val="1"/>
      </rPr>
      <t xml:space="preserve">)</t>
    </r>
  </si>
  <si>
    <t xml:space="preserve">グループ</t>
  </si>
  <si>
    <r>
      <rPr>
        <b val="true"/>
        <sz val="10"/>
        <color rgb="FFFFFFFF"/>
        <rFont val="WenQuanYi Zen Hei"/>
        <family val="2"/>
      </rPr>
      <t xml:space="preserve">令和</t>
    </r>
    <r>
      <rPr>
        <b val="true"/>
        <sz val="10"/>
        <color rgb="FFFFFFFF"/>
        <rFont val="Arial"/>
        <family val="0"/>
        <charset val="1"/>
      </rPr>
      <t xml:space="preserve">8</t>
    </r>
    <r>
      <rPr>
        <b val="true"/>
        <sz val="10"/>
        <color rgb="FFFFFFFF"/>
        <rFont val="WenQuanYi Zen Hei"/>
        <family val="2"/>
      </rPr>
      <t xml:space="preserve">年度 </t>
    </r>
    <r>
      <rPr>
        <b val="true"/>
        <sz val="10"/>
        <color rgb="FFFFFFFF"/>
        <rFont val="Arial"/>
        <family val="0"/>
        <charset val="1"/>
      </rPr>
      <t xml:space="preserve">4</t>
    </r>
    <r>
      <rPr>
        <b val="true"/>
        <sz val="10"/>
        <color rgb="FFFFFFFF"/>
        <rFont val="WenQuanYi Zen Hei"/>
        <family val="2"/>
      </rPr>
      <t xml:space="preserve">〜</t>
    </r>
    <r>
      <rPr>
        <b val="true"/>
        <sz val="10"/>
        <color rgb="FFFFFFFF"/>
        <rFont val="Arial"/>
        <family val="0"/>
        <charset val="1"/>
      </rPr>
      <t xml:space="preserve">9</t>
    </r>
    <r>
      <rPr>
        <b val="true"/>
        <sz val="10"/>
        <color rgb="FFFFFFFF"/>
        <rFont val="WenQuanYi Zen Hei"/>
        <family val="2"/>
      </rPr>
      <t xml:space="preserve">月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実績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</si>
  <si>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令和</t>
    </r>
    <r>
      <rPr>
        <b val="true"/>
        <sz val="10"/>
        <color rgb="FFFFFFFF"/>
        <rFont val="Arial"/>
        <family val="0"/>
        <charset val="1"/>
      </rPr>
      <t xml:space="preserve">8</t>
    </r>
    <r>
      <rPr>
        <b val="true"/>
        <sz val="10"/>
        <color rgb="FFFFFFFF"/>
        <rFont val="WenQuanYi Zen Hei"/>
        <family val="2"/>
      </rPr>
      <t xml:space="preserve">年度 </t>
    </r>
    <r>
      <rPr>
        <b val="true"/>
        <sz val="10"/>
        <color rgb="FFFFFFFF"/>
        <rFont val="Arial"/>
        <family val="0"/>
        <charset val="1"/>
      </rPr>
      <t xml:space="preserve">10</t>
    </r>
    <r>
      <rPr>
        <b val="true"/>
        <sz val="10"/>
        <color rgb="FFFFFFFF"/>
        <rFont val="WenQuanYi Zen Hei"/>
        <family val="2"/>
      </rPr>
      <t xml:space="preserve">〜</t>
    </r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WenQuanYi Zen Hei"/>
        <family val="2"/>
      </rPr>
      <t xml:space="preserve">月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見込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</si>
  <si>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令和</t>
    </r>
    <r>
      <rPr>
        <b val="true"/>
        <sz val="10"/>
        <color rgb="FFFFFFFF"/>
        <rFont val="Arial"/>
        <family val="0"/>
        <charset val="1"/>
      </rPr>
      <t xml:space="preserve">8</t>
    </r>
    <r>
      <rPr>
        <b val="true"/>
        <sz val="10"/>
        <color rgb="FFFFFFFF"/>
        <rFont val="WenQuanYi Zen Hei"/>
        <family val="2"/>
      </rPr>
      <t xml:space="preserve">年度 年間</t>
    </r>
  </si>
  <si>
    <r>
      <rPr>
        <b val="true"/>
        <sz val="10"/>
        <color rgb="FFFFFFFF"/>
        <rFont val="Arial"/>
        <family val="0"/>
        <charset val="1"/>
      </rPr>
      <t xml:space="preserve">10</t>
    </r>
    <r>
      <rPr>
        <b val="true"/>
        <sz val="10"/>
        <color rgb="FFFFFFFF"/>
        <rFont val="WenQuanYi Zen Hei"/>
        <family val="2"/>
      </rPr>
      <t xml:space="preserve">〜</t>
    </r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WenQuanYi Zen Hei"/>
        <family val="2"/>
      </rPr>
      <t xml:space="preserve">月の置き方</t>
    </r>
  </si>
  <si>
    <r>
      <rPr>
        <sz val="10"/>
        <color rgb="FF595959"/>
        <rFont val="Arial"/>
        <family val="0"/>
        <charset val="1"/>
      </rPr>
      <t xml:space="preserve">5</t>
    </r>
    <r>
      <rPr>
        <sz val="10"/>
        <color rgb="FF595959"/>
        <rFont val="WenQuanYi Zen Hei"/>
        <family val="2"/>
      </rPr>
      <t xml:space="preserve">〜</t>
    </r>
    <r>
      <rPr>
        <sz val="10"/>
        <color rgb="FF595959"/>
        <rFont val="Arial"/>
        <family val="0"/>
        <charset val="1"/>
      </rPr>
      <t xml:space="preserve">9</t>
    </r>
    <r>
      <rPr>
        <sz val="10"/>
        <color rgb="FF595959"/>
        <rFont val="WenQuanYi Zen Hei"/>
        <family val="2"/>
      </rPr>
      <t xml:space="preserve">月の月次中央値</t>
    </r>
    <r>
      <rPr>
        <sz val="10"/>
        <color rgb="FF595959"/>
        <rFont val="Arial"/>
        <family val="0"/>
        <charset val="1"/>
      </rPr>
      <t xml:space="preserve">×6</t>
    </r>
  </si>
  <si>
    <t xml:space="preserve">合計</t>
  </si>
  <si>
    <r>
      <rPr>
        <i val="true"/>
        <sz val="10"/>
        <color rgb="FF595959"/>
        <rFont val="WenQuanYi Zen Hei"/>
        <family val="2"/>
      </rPr>
      <t xml:space="preserve">※下期の月次実績がないため、令和</t>
    </r>
    <r>
      <rPr>
        <i val="true"/>
        <sz val="10"/>
        <color rgb="FF595959"/>
        <rFont val="Arial"/>
        <family val="0"/>
        <charset val="1"/>
      </rPr>
      <t xml:space="preserve">9</t>
    </r>
    <r>
      <rPr>
        <i val="true"/>
        <sz val="10"/>
        <color rgb="FF595959"/>
        <rFont val="WenQuanYi Zen Hei"/>
        <family val="2"/>
      </rPr>
      <t xml:space="preserve">年度は同じ年間パターンの繰り返しとして見積もっています。保険料・接待交際費などは実際の予定に合わせて前提シートの月別表を直接修正できます。</t>
    </r>
  </si>
  <si>
    <r>
      <rPr>
        <b val="true"/>
        <sz val="13"/>
        <color rgb="FF000000"/>
        <rFont val="WenQuanYi Zen Hei"/>
        <family val="2"/>
      </rPr>
      <t xml:space="preserve">賃貸収入明細 </t>
    </r>
    <r>
      <rPr>
        <b val="true"/>
        <sz val="13"/>
        <color rgb="FF000000"/>
        <rFont val="Arial"/>
        <family val="0"/>
        <charset val="1"/>
      </rPr>
      <t xml:space="preserve">(</t>
    </r>
    <r>
      <rPr>
        <b val="true"/>
        <sz val="13"/>
        <color rgb="FF000000"/>
        <rFont val="WenQuanYi Zen Hei"/>
        <family val="2"/>
      </rPr>
      <t xml:space="preserve">株</t>
    </r>
    <r>
      <rPr>
        <b val="true"/>
        <sz val="13"/>
        <color rgb="FF000000"/>
        <rFont val="Arial"/>
        <family val="0"/>
        <charset val="1"/>
      </rPr>
      <t xml:space="preserve">)</t>
    </r>
    <r>
      <rPr>
        <b val="true"/>
        <sz val="13"/>
        <color rgb="FF000000"/>
        <rFont val="WenQuanYi Zen Hei"/>
        <family val="2"/>
      </rPr>
      <t xml:space="preserve">旭土地建物</t>
    </r>
    <r>
      <rPr>
        <b val="true"/>
        <sz val="13"/>
        <color rgb="FF000000"/>
        <rFont val="Arial"/>
        <family val="0"/>
        <charset val="1"/>
      </rPr>
      <t xml:space="preserve">(</t>
    </r>
    <r>
      <rPr>
        <b val="true"/>
        <sz val="13"/>
        <color rgb="FF000000"/>
        <rFont val="WenQuanYi Zen Hei"/>
        <family val="2"/>
      </rPr>
      <t xml:space="preserve">令和</t>
    </r>
    <r>
      <rPr>
        <b val="true"/>
        <sz val="13"/>
        <color rgb="FF000000"/>
        <rFont val="Arial"/>
        <family val="0"/>
        <charset val="1"/>
      </rPr>
      <t xml:space="preserve">8</t>
    </r>
    <r>
      <rPr>
        <b val="true"/>
        <sz val="13"/>
        <color rgb="FF000000"/>
        <rFont val="WenQuanYi Zen Hei"/>
        <family val="2"/>
      </rPr>
      <t xml:space="preserve">年</t>
    </r>
    <r>
      <rPr>
        <b val="true"/>
        <sz val="13"/>
        <color rgb="FF000000"/>
        <rFont val="Arial"/>
        <family val="0"/>
        <charset val="1"/>
      </rPr>
      <t xml:space="preserve">10</t>
    </r>
    <r>
      <rPr>
        <b val="true"/>
        <sz val="13"/>
        <color rgb="FF000000"/>
        <rFont val="WenQuanYi Zen Hei"/>
        <family val="2"/>
      </rPr>
      <t xml:space="preserve">月</t>
    </r>
    <r>
      <rPr>
        <b val="true"/>
        <sz val="13"/>
        <color rgb="FF000000"/>
        <rFont val="Arial"/>
        <family val="0"/>
        <charset val="1"/>
      </rPr>
      <t xml:space="preserve">15</t>
    </r>
    <r>
      <rPr>
        <b val="true"/>
        <sz val="13"/>
        <color rgb="FF000000"/>
        <rFont val="WenQuanYi Zen Hei"/>
        <family val="2"/>
      </rPr>
      <t xml:space="preserve">日付・月額</t>
    </r>
    <r>
      <rPr>
        <b val="true"/>
        <sz val="13"/>
        <color rgb="FF000000"/>
        <rFont val="Arial"/>
        <family val="0"/>
        <charset val="1"/>
      </rPr>
      <t xml:space="preserve">)</t>
    </r>
  </si>
  <si>
    <r>
      <rPr>
        <i val="true"/>
        <sz val="10"/>
        <color rgb="FF595959"/>
        <rFont val="WenQuanYi Zen Hei"/>
        <family val="2"/>
      </rPr>
      <t xml:space="preserve">出典</t>
    </r>
    <r>
      <rPr>
        <i val="true"/>
        <sz val="10"/>
        <color rgb="FF595959"/>
        <rFont val="Arial"/>
        <family val="0"/>
        <charset val="1"/>
      </rPr>
      <t xml:space="preserve">: </t>
    </r>
    <r>
      <rPr>
        <i val="true"/>
        <sz val="10"/>
        <color rgb="FF595959"/>
        <rFont val="WenQuanYi Zen Hei"/>
        <family val="2"/>
      </rPr>
      <t xml:space="preserve">アップロードされた「賃貸収入・支出明細」シート </t>
    </r>
    <r>
      <rPr>
        <i val="true"/>
        <sz val="10"/>
        <color rgb="FF595959"/>
        <rFont val="Arial"/>
        <family val="0"/>
        <charset val="1"/>
      </rPr>
      <t xml:space="preserve">R8.10.15</t>
    </r>
    <r>
      <rPr>
        <i val="true"/>
        <sz val="10"/>
        <color rgb="FF595959"/>
        <rFont val="WenQuanYi Zen Hei"/>
        <family val="2"/>
      </rPr>
      <t xml:space="preserve">。コインパーキングは令和</t>
    </r>
    <r>
      <rPr>
        <i val="true"/>
        <sz val="10"/>
        <color rgb="FF595959"/>
        <rFont val="Arial"/>
        <family val="0"/>
        <charset val="1"/>
      </rPr>
      <t xml:space="preserve">7</t>
    </r>
    <r>
      <rPr>
        <i val="true"/>
        <sz val="10"/>
        <color rgb="FF595959"/>
        <rFont val="WenQuanYi Zen Hei"/>
        <family val="2"/>
      </rPr>
      <t xml:space="preserve">年</t>
    </r>
    <r>
      <rPr>
        <i val="true"/>
        <sz val="10"/>
        <color rgb="FF595959"/>
        <rFont val="Arial"/>
        <family val="0"/>
        <charset val="1"/>
      </rPr>
      <t xml:space="preserve">1</t>
    </r>
    <r>
      <rPr>
        <i val="true"/>
        <sz val="10"/>
        <color rgb="FF595959"/>
        <rFont val="WenQuanYi Zen Hei"/>
        <family val="2"/>
      </rPr>
      <t xml:space="preserve">〜</t>
    </r>
    <r>
      <rPr>
        <i val="true"/>
        <sz val="10"/>
        <color rgb="FF595959"/>
        <rFont val="Arial"/>
        <family val="0"/>
        <charset val="1"/>
      </rPr>
      <t xml:space="preserve">12</t>
    </r>
    <r>
      <rPr>
        <i val="true"/>
        <sz val="10"/>
        <color rgb="FF595959"/>
        <rFont val="WenQuanYi Zen Hei"/>
        <family val="2"/>
      </rPr>
      <t xml:space="preserve">月の月平均。青字</t>
    </r>
    <r>
      <rPr>
        <i val="true"/>
        <sz val="10"/>
        <color rgb="FF595959"/>
        <rFont val="Arial"/>
        <family val="0"/>
        <charset val="1"/>
      </rPr>
      <t xml:space="preserve">=</t>
    </r>
    <r>
      <rPr>
        <i val="true"/>
        <sz val="10"/>
        <color rgb="FF595959"/>
        <rFont val="WenQuanYi Zen Hei"/>
        <family val="2"/>
      </rPr>
      <t xml:space="preserve">転記値。</t>
    </r>
  </si>
  <si>
    <t xml:space="preserve">借主</t>
  </si>
  <si>
    <r>
      <rPr>
        <b val="true"/>
        <sz val="10"/>
        <color rgb="FFFFFFFF"/>
        <rFont val="WenQuanYi Zen Hei"/>
        <family val="2"/>
      </rPr>
      <t xml:space="preserve">月額家賃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円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</si>
  <si>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備考</t>
  </si>
  <si>
    <t xml:space="preserve">みずほ銀行</t>
  </si>
  <si>
    <t xml:space="preserve">ジェントルマン</t>
  </si>
  <si>
    <t xml:space="preserve">XYZ</t>
  </si>
  <si>
    <t xml:space="preserve">坂本不動産</t>
  </si>
  <si>
    <t xml:space="preserve">グループ会社からの家賃</t>
  </si>
  <si>
    <t xml:space="preserve">カナコン</t>
  </si>
  <si>
    <t xml:space="preserve">ファミリー歯科</t>
  </si>
  <si>
    <r>
      <rPr>
        <sz val="10"/>
        <color rgb="FF000000"/>
        <rFont val="WenQuanYi Zen Hei"/>
        <family val="2"/>
      </rPr>
      <t xml:space="preserve">緑園カレージ</t>
    </r>
    <r>
      <rPr>
        <sz val="10"/>
        <color rgb="FF000000"/>
        <rFont val="Arial"/>
        <family val="0"/>
        <charset val="1"/>
      </rPr>
      <t xml:space="preserve">(10)</t>
    </r>
  </si>
  <si>
    <t xml:space="preserve">善部</t>
  </si>
  <si>
    <t xml:space="preserve">南万騎が原コインパーキング</t>
  </si>
  <si>
    <r>
      <rPr>
        <sz val="10"/>
        <color rgb="FF595959"/>
        <rFont val="Arial"/>
        <family val="0"/>
        <charset val="1"/>
      </rPr>
      <t xml:space="preserve">R7.1</t>
    </r>
    <r>
      <rPr>
        <sz val="10"/>
        <color rgb="FF595959"/>
        <rFont val="WenQuanYi Zen Hei"/>
        <family val="2"/>
      </rPr>
      <t xml:space="preserve">〜</t>
    </r>
    <r>
      <rPr>
        <sz val="10"/>
        <color rgb="FF595959"/>
        <rFont val="Arial"/>
        <family val="0"/>
        <charset val="1"/>
      </rPr>
      <t xml:space="preserve">12</t>
    </r>
    <r>
      <rPr>
        <sz val="10"/>
        <color rgb="FF595959"/>
        <rFont val="WenQuanYi Zen Hei"/>
        <family val="2"/>
      </rPr>
      <t xml:space="preserve">平均</t>
    </r>
  </si>
  <si>
    <t xml:space="preserve">厚木コインパーキング</t>
  </si>
  <si>
    <r>
      <rPr>
        <sz val="10"/>
        <color rgb="FF000000"/>
        <rFont val="WenQuanYi Zen Hei"/>
        <family val="2"/>
      </rPr>
      <t xml:space="preserve">サカモト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横浜西口</t>
    </r>
    <r>
      <rPr>
        <sz val="10"/>
        <color rgb="FF000000"/>
        <rFont val="Arial"/>
        <family val="0"/>
        <charset val="1"/>
      </rPr>
      <t xml:space="preserve">)</t>
    </r>
  </si>
  <si>
    <t xml:space="preserve">月額合計</t>
  </si>
  <si>
    <r>
      <rPr>
        <sz val="10"/>
        <color rgb="FF000000"/>
        <rFont val="WenQuanYi Zen Hei"/>
        <family val="2"/>
      </rPr>
      <t xml:space="preserve">元ファイルの合計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検算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</si>
  <si>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家賃支出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元ファイル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</si>
  <si>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595959"/>
        <rFont val="WenQuanYi Zen Hei"/>
        <family val="2"/>
      </rPr>
      <t xml:space="preserve">旭土地建物の「家賃支出」欄は</t>
    </r>
    <r>
      <rPr>
        <sz val="10"/>
        <color rgb="FF595959"/>
        <rFont val="Arial"/>
        <family val="0"/>
        <charset val="1"/>
      </rPr>
      <t xml:space="preserve">0</t>
    </r>
  </si>
  <si>
    <r>
      <rPr>
        <sz val="10"/>
        <color rgb="FF000000"/>
        <rFont val="WenQuanYi Zen Hei"/>
        <family val="2"/>
      </rPr>
      <t xml:space="preserve">参考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令和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〜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月の月次賃貸売上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会計上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の平均</t>
    </r>
  </si>
  <si>
    <t xml:space="preserve">最新明細との差</t>
  </si>
  <si>
    <r>
      <rPr>
        <i val="true"/>
        <sz val="10"/>
        <color rgb="FF595959"/>
        <rFont val="WenQuanYi Zen Hei"/>
        <family val="2"/>
      </rPr>
      <t xml:space="preserve">※会計上の</t>
    </r>
    <r>
      <rPr>
        <i val="true"/>
        <sz val="10"/>
        <color rgb="FF595959"/>
        <rFont val="Arial"/>
        <family val="0"/>
        <charset val="1"/>
      </rPr>
      <t xml:space="preserve">4</t>
    </r>
    <r>
      <rPr>
        <i val="true"/>
        <sz val="10"/>
        <color rgb="FF595959"/>
        <rFont val="WenQuanYi Zen Hei"/>
        <family val="2"/>
      </rPr>
      <t xml:space="preserve">月計上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WenQuanYi Zen Hei"/>
        <family val="2"/>
      </rPr>
      <t xml:space="preserve">年間分約</t>
    </r>
    <r>
      <rPr>
        <i val="true"/>
        <sz val="10"/>
        <color rgb="FF595959"/>
        <rFont val="Arial"/>
        <family val="0"/>
        <charset val="1"/>
      </rPr>
      <t xml:space="preserve">2,500</t>
    </r>
    <r>
      <rPr>
        <i val="true"/>
        <sz val="10"/>
        <color rgb="FF595959"/>
        <rFont val="WenQuanYi Zen Hei"/>
        <family val="2"/>
      </rPr>
      <t xml:space="preserve">万円</t>
    </r>
    <r>
      <rPr>
        <i val="true"/>
        <sz val="10"/>
        <color rgb="FF595959"/>
        <rFont val="Arial"/>
        <family val="0"/>
        <charset val="1"/>
      </rPr>
      <t xml:space="preserve">)</t>
    </r>
    <r>
      <rPr>
        <i val="true"/>
        <sz val="10"/>
        <color rgb="FF595959"/>
        <rFont val="WenQuanYi Zen Hei"/>
        <family val="2"/>
      </rPr>
      <t xml:space="preserve">は明細の月額に含まれていません。内容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WenQuanYi Zen Hei"/>
        <family val="2"/>
      </rPr>
      <t xml:space="preserve">年払い・精算など</t>
    </r>
    <r>
      <rPr>
        <i val="true"/>
        <sz val="10"/>
        <color rgb="FF595959"/>
        <rFont val="Arial"/>
        <family val="0"/>
        <charset val="1"/>
      </rPr>
      <t xml:space="preserve">)</t>
    </r>
    <r>
      <rPr>
        <i val="true"/>
        <sz val="10"/>
        <color rgb="FF595959"/>
        <rFont val="WenQuanYi Zen Hei"/>
        <family val="2"/>
      </rPr>
      <t xml:space="preserve">を確認してください。</t>
    </r>
  </si>
  <si>
    <t xml:space="preserve">社債の採算確認と賃貸アパートとの比較</t>
  </si>
  <si>
    <r>
      <rPr>
        <i val="true"/>
        <sz val="10"/>
        <color rgb="FF595959"/>
        <rFont val="WenQuanYi Zen Hei"/>
        <family val="2"/>
      </rPr>
      <t xml:space="preserve">数値は前提シートの設定を引用。比較用アパート条件は仮置き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WenQuanYi Zen Hei"/>
        <family val="2"/>
      </rPr>
      <t xml:space="preserve">青字</t>
    </r>
    <r>
      <rPr>
        <i val="true"/>
        <sz val="10"/>
        <color rgb="FF595959"/>
        <rFont val="Arial"/>
        <family val="0"/>
        <charset val="1"/>
      </rPr>
      <t xml:space="preserve">)</t>
    </r>
    <r>
      <rPr>
        <i val="true"/>
        <sz val="10"/>
        <color rgb="FF595959"/>
        <rFont val="WenQuanYi Zen Hei"/>
        <family val="2"/>
      </rPr>
      <t xml:space="preserve">なので、実際の物件資料に置き換えてください。</t>
    </r>
  </si>
  <si>
    <r>
      <rPr>
        <b val="true"/>
        <sz val="10"/>
        <color rgb="FF000000"/>
        <rFont val="Arial"/>
        <family val="0"/>
        <charset val="1"/>
      </rPr>
      <t xml:space="preserve">1. </t>
    </r>
    <r>
      <rPr>
        <b val="true"/>
        <sz val="10"/>
        <color rgb="FF000000"/>
        <rFont val="WenQuanYi Zen Hei"/>
        <family val="2"/>
      </rPr>
      <t xml:space="preserve">社債の損益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為替を購入時のまま固定した場合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</si>
  <si>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投資額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円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</si>
  <si>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年間利息</t>
    </r>
    <r>
      <rPr>
        <sz val="10"/>
        <color rgb="FF000000"/>
        <rFont val="Arial"/>
        <family val="0"/>
        <charset val="1"/>
      </rPr>
      <t xml:space="preserve">(USD)</t>
    </r>
  </si>
  <si>
    <r>
      <rPr>
        <sz val="10"/>
        <color rgb="FF000000"/>
        <rFont val="WenQuanYi Zen Hei"/>
        <family val="2"/>
      </rPr>
      <t xml:space="preserve">年間利息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円・税引前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</si>
  <si>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年間利息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円・源泉税引後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</si>
  <si>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年間の税引後利息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円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</si>
  <si>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円ベース年利回り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税引後・手数料込み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</si>
  <si>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595959"/>
        <rFont val="WenQuanYi Zen Hei"/>
        <family val="2"/>
      </rPr>
      <t xml:space="preserve">提示の</t>
    </r>
    <r>
      <rPr>
        <sz val="10"/>
        <color rgb="FF595959"/>
        <rFont val="Arial"/>
        <family val="0"/>
        <charset val="1"/>
      </rPr>
      <t xml:space="preserve">7%</t>
    </r>
    <r>
      <rPr>
        <sz val="10"/>
        <color rgb="FF595959"/>
        <rFont val="WenQuanYi Zen Hei"/>
        <family val="2"/>
      </rPr>
      <t xml:space="preserve">から、源泉税と為替手数料の分だけ低下</t>
    </r>
  </si>
  <si>
    <r>
      <rPr>
        <sz val="10"/>
        <color rgb="FF595959"/>
        <rFont val="WenQuanYi Zen Hei"/>
        <family val="2"/>
      </rPr>
      <t xml:space="preserve">これより円高になると</t>
    </r>
    <r>
      <rPr>
        <sz val="10"/>
        <color rgb="FF595959"/>
        <rFont val="Arial"/>
        <family val="0"/>
        <charset val="1"/>
      </rPr>
      <t xml:space="preserve">3</t>
    </r>
    <r>
      <rPr>
        <sz val="10"/>
        <color rgb="FF595959"/>
        <rFont val="WenQuanYi Zen Hei"/>
        <family val="2"/>
      </rPr>
      <t xml:space="preserve">年トータルで元本割れ</t>
    </r>
    <r>
      <rPr>
        <sz val="10"/>
        <color rgb="FF595959"/>
        <rFont val="Arial"/>
        <family val="0"/>
        <charset val="1"/>
      </rPr>
      <t xml:space="preserve">(</t>
    </r>
    <r>
      <rPr>
        <sz val="10"/>
        <color rgb="FF595959"/>
        <rFont val="WenQuanYi Zen Hei"/>
        <family val="2"/>
      </rPr>
      <t xml:space="preserve">円ベース</t>
    </r>
    <r>
      <rPr>
        <sz val="10"/>
        <color rgb="FF595959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</si>
  <si>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許容できる円高幅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購入時比</t>
    </r>
    <r>
      <rPr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</si>
  <si>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000000"/>
        <rFont val="Arial"/>
        <family val="0"/>
        <charset val="1"/>
      </rPr>
      <t xml:space="preserve">2. </t>
    </r>
    <r>
      <rPr>
        <b val="true"/>
        <sz val="10"/>
        <color rgb="FF000000"/>
        <rFont val="WenQuanYi Zen Hei"/>
        <family val="2"/>
      </rPr>
      <t xml:space="preserve">償還時の為替別 </t>
    </r>
    <r>
      <rPr>
        <b val="true"/>
        <sz val="10"/>
        <color rgb="FF000000"/>
        <rFont val="Arial"/>
        <family val="0"/>
        <charset val="1"/>
      </rPr>
      <t xml:space="preserve">3</t>
    </r>
    <r>
      <rPr>
        <b val="true"/>
        <sz val="10"/>
        <color rgb="FF000000"/>
        <rFont val="WenQuanYi Zen Hei"/>
        <family val="2"/>
      </rPr>
      <t xml:space="preserve">年間の損益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円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</si>
  <si>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償還時為替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円</t>
    </r>
    <r>
      <rPr>
        <b val="true"/>
        <sz val="10"/>
        <color rgb="FFFFFFFF"/>
        <rFont val="Arial"/>
        <family val="0"/>
        <charset val="1"/>
      </rPr>
      <t xml:space="preserve">/USD)</t>
    </r>
  </si>
  <si>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WenQuanYi Zen Hei"/>
        <family val="2"/>
      </rPr>
      <t xml:space="preserve">年間の損益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円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</si>
  <si>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年率換算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単純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</si>
  <si>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i val="true"/>
        <sz val="10"/>
        <color rgb="FF595959"/>
        <rFont val="WenQuanYi Zen Hei"/>
        <family val="2"/>
      </rPr>
      <t xml:space="preserve">※利息は購入時為替で円換算、利息への課税は源泉税のみで計算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WenQuanYi Zen Hei"/>
        <family val="2"/>
      </rPr>
      <t xml:space="preserve">為替差損益の課税効果は考慮していません</t>
    </r>
    <r>
      <rPr>
        <i val="true"/>
        <sz val="10"/>
        <color rgb="FF595959"/>
        <rFont val="Arial"/>
        <family val="0"/>
        <charset val="1"/>
      </rPr>
      <t xml:space="preserve">)</t>
    </r>
    <r>
      <rPr>
        <i val="true"/>
        <sz val="10"/>
        <color rgb="FF595959"/>
        <rFont val="WenQuanYi Zen Hei"/>
        <family val="2"/>
      </rPr>
      <t xml:space="preserve">。</t>
    </r>
  </si>
  <si>
    <r>
      <rPr>
        <b val="true"/>
        <sz val="10"/>
        <color rgb="FF000000"/>
        <rFont val="Arial"/>
        <family val="0"/>
        <charset val="1"/>
      </rPr>
      <t xml:space="preserve">3. </t>
    </r>
    <r>
      <rPr>
        <b val="true"/>
        <sz val="10"/>
        <color rgb="FF000000"/>
        <rFont val="WenQuanYi Zen Hei"/>
        <family val="2"/>
      </rPr>
      <t xml:space="preserve">賃貸アパート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同額を現金投資した場合</t>
    </r>
    <r>
      <rPr>
        <b val="true"/>
        <sz val="10"/>
        <color rgb="FF000000"/>
        <rFont val="Arial"/>
        <family val="0"/>
        <charset val="1"/>
      </rPr>
      <t xml:space="preserve">)</t>
    </r>
    <r>
      <rPr>
        <b val="true"/>
        <sz val="10"/>
        <color rgb="FF000000"/>
        <rFont val="WenQuanYi Zen Hei"/>
        <family val="2"/>
      </rPr>
      <t xml:space="preserve">との比較  ※仮置き</t>
    </r>
  </si>
  <si>
    <r>
      <rPr>
        <sz val="10"/>
        <color rgb="FF000000"/>
        <rFont val="WenQuanYi Zen Hei"/>
        <family val="2"/>
      </rPr>
      <t xml:space="preserve">物件価格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円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</si>
  <si>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表面利回り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仮置き</t>
    </r>
    <r>
      <rPr>
        <sz val="10"/>
        <color rgb="FF000000"/>
        <rFont val="Arial"/>
        <family val="0"/>
        <charset val="1"/>
      </rPr>
      <t xml:space="preserve">)</t>
    </r>
  </si>
  <si>
    <t xml:space="preserve">物件資料の値に置換</t>
  </si>
  <si>
    <r>
      <rPr>
        <sz val="10"/>
        <color rgb="FF000000"/>
        <rFont val="WenQuanYi Zen Hei"/>
        <family val="2"/>
      </rPr>
      <t xml:space="preserve">空室・滞納ロス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仮置き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</si>
  <si>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運営費率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管理・修繕・固定資産税・保険、仮置き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</si>
  <si>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実質利回り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税引前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</si>
  <si>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社債の円ベース利回り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上記</t>
    </r>
    <r>
      <rPr>
        <sz val="10"/>
        <color rgb="FF000000"/>
        <rFont val="Arial"/>
        <family val="0"/>
        <charset val="1"/>
      </rPr>
      <t xml:space="preserve">1.</t>
    </r>
    <r>
      <rPr>
        <sz val="10"/>
        <color rgb="FF000000"/>
        <rFont val="WenQuanYi Zen Hei"/>
        <family val="2"/>
      </rPr>
      <t xml:space="preserve">より</t>
    </r>
    <r>
      <rPr>
        <sz val="10"/>
        <color rgb="FF000000"/>
        <rFont val="Arial"/>
        <family val="0"/>
        <charset val="1"/>
      </rPr>
      <t xml:space="preserve">)</t>
    </r>
  </si>
  <si>
    <r>
      <rPr>
        <i val="true"/>
        <sz val="10"/>
        <color rgb="FF595959"/>
        <rFont val="WenQuanYi Zen Hei"/>
        <family val="2"/>
      </rPr>
      <t xml:space="preserve">※アパートは円建てで為替リスクなし・売却可能な実物資産。一方で空室・修繕・出口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WenQuanYi Zen Hei"/>
        <family val="2"/>
      </rPr>
      <t xml:space="preserve">売却価格</t>
    </r>
    <r>
      <rPr>
        <i val="true"/>
        <sz val="10"/>
        <color rgb="FF595959"/>
        <rFont val="Arial"/>
        <family val="0"/>
        <charset val="1"/>
      </rPr>
      <t xml:space="preserve">)</t>
    </r>
    <r>
      <rPr>
        <i val="true"/>
        <sz val="10"/>
        <color rgb="FF595959"/>
        <rFont val="WenQuanYi Zen Hei"/>
        <family val="2"/>
      </rPr>
      <t xml:space="preserve">のリスクと、取得に伴う諸費用があります。</t>
    </r>
  </si>
  <si>
    <r>
      <rPr>
        <i val="true"/>
        <sz val="10"/>
        <color rgb="FF595959"/>
        <rFont val="WenQuanYi Zen Hei"/>
        <family val="2"/>
      </rPr>
      <t xml:space="preserve">※貴社は当期が大幅な欠損見込みのため、減価償却による節税効果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WenQuanYi Zen Hei"/>
        <family val="2"/>
      </rPr>
      <t xml:space="preserve">アパートの利点</t>
    </r>
    <r>
      <rPr>
        <i val="true"/>
        <sz val="10"/>
        <color rgb="FF595959"/>
        <rFont val="Arial"/>
        <family val="0"/>
        <charset val="1"/>
      </rPr>
      <t xml:space="preserve">)</t>
    </r>
    <r>
      <rPr>
        <i val="true"/>
        <sz val="10"/>
        <color rgb="FF595959"/>
        <rFont val="WenQuanYi Zen Hei"/>
        <family val="2"/>
      </rPr>
      <t xml:space="preserve">は当面ほぼ見込めません。</t>
    </r>
  </si>
  <si>
    <r>
      <rPr>
        <b val="true"/>
        <sz val="10"/>
        <color rgb="FF000000"/>
        <rFont val="Arial"/>
        <family val="0"/>
        <charset val="1"/>
      </rPr>
      <t xml:space="preserve">4. </t>
    </r>
    <r>
      <rPr>
        <b val="true"/>
        <sz val="10"/>
        <color rgb="FF000000"/>
        <rFont val="WenQuanYi Zen Hei"/>
        <family val="2"/>
      </rPr>
      <t xml:space="preserve">大和証券に確認したい事項</t>
    </r>
  </si>
  <si>
    <r>
      <rPr>
        <sz val="10"/>
        <color rgb="FF000000"/>
        <rFont val="Arial"/>
        <family val="0"/>
        <charset val="1"/>
      </rPr>
      <t xml:space="preserve">1. </t>
    </r>
    <r>
      <rPr>
        <sz val="10"/>
        <color rgb="FF000000"/>
        <rFont val="WenQuanYi Zen Hei"/>
        <family val="2"/>
      </rPr>
      <t xml:space="preserve">発行体名と格付</t>
    </r>
    <r>
      <rPr>
        <sz val="10"/>
        <color rgb="FF000000"/>
        <rFont val="Arial"/>
        <family val="0"/>
        <charset val="1"/>
      </rPr>
      <t xml:space="preserve">(7%</t>
    </r>
    <r>
      <rPr>
        <sz val="10"/>
        <color rgb="FF000000"/>
        <rFont val="WenQuanYi Zen Hei"/>
        <family val="2"/>
      </rPr>
      <t xml:space="preserve">は米国債などより大幅に高い水準のため、発行体の信用力を確認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</si>
  <si>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2. 7%</t>
    </r>
    <r>
      <rPr>
        <sz val="10"/>
        <color rgb="FF000000"/>
        <rFont val="WenQuanYi Zen Hei"/>
        <family val="2"/>
      </rPr>
      <t xml:space="preserve">は「表面利率」か「利回り」か。発行価格は額面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か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割引・割増の有無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</si>
  <si>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3. </t>
    </r>
    <r>
      <rPr>
        <sz val="10"/>
        <color rgb="FF000000"/>
        <rFont val="WenQuanYi Zen Hei"/>
        <family val="2"/>
      </rPr>
      <t xml:space="preserve">期限前償還条項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コーラブル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・利率変動・株価連動など、仕組債の要素がないか</t>
    </r>
  </si>
  <si>
    <r>
      <rPr>
        <sz val="10"/>
        <color rgb="FF000000"/>
        <rFont val="Arial"/>
        <family val="0"/>
        <charset val="1"/>
      </rPr>
      <t xml:space="preserve">4. </t>
    </r>
    <r>
      <rPr>
        <sz val="10"/>
        <color rgb="FF000000"/>
        <rFont val="WenQuanYi Zen Hei"/>
        <family val="2"/>
      </rPr>
      <t xml:space="preserve">利払い頻度と利払日、受渡日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購入月の確定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</si>
  <si>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5. </t>
    </r>
    <r>
      <rPr>
        <sz val="10"/>
        <color rgb="FF000000"/>
        <rFont val="WenQuanYi Zen Hei"/>
        <family val="2"/>
      </rPr>
      <t xml:space="preserve">為替手数料・販売手数料の総額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円転コスト、償還時の円転コスト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</si>
  <si>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6. </t>
    </r>
    <r>
      <rPr>
        <sz val="10"/>
        <color rgb="FF000000"/>
        <rFont val="WenQuanYi Zen Hei"/>
        <family val="2"/>
      </rPr>
      <t xml:space="preserve">中途売却する場合の売却価格の目安と流動性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売れない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大幅値引きのリスク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</si>
  <si>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7. </t>
    </r>
    <r>
      <rPr>
        <sz val="10"/>
        <color rgb="FF000000"/>
        <rFont val="WenQuanYi Zen Hei"/>
        <family val="2"/>
      </rPr>
      <t xml:space="preserve">法人の源泉徴収・会計処理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満期保有目的か、期末の為替換算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を顧問税理士に確認</t>
    </r>
  </si>
  <si>
    <r>
      <rPr>
        <sz val="10"/>
        <color rgb="FF000000"/>
        <rFont val="Arial"/>
        <family val="0"/>
        <charset val="1"/>
      </rPr>
      <t xml:space="preserve">8. </t>
    </r>
    <r>
      <rPr>
        <sz val="10"/>
        <color rgb="FF000000"/>
        <rFont val="WenQuanYi Zen Hei"/>
        <family val="2"/>
      </rPr>
      <t xml:space="preserve">購入資金</t>
    </r>
    <r>
      <rPr>
        <sz val="10"/>
        <color rgb="FF000000"/>
        <rFont val="Arial"/>
        <family val="0"/>
        <charset val="1"/>
      </rPr>
      <t xml:space="preserve">25</t>
    </r>
    <r>
      <rPr>
        <sz val="10"/>
        <color rgb="FF000000"/>
        <rFont val="WenQuanYi Zen Hei"/>
        <family val="2"/>
      </rPr>
      <t xml:space="preserve">万</t>
    </r>
    <r>
      <rPr>
        <sz val="10"/>
        <color rgb="FF000000"/>
        <rFont val="Arial"/>
        <family val="0"/>
        <charset val="1"/>
      </rPr>
      <t xml:space="preserve">USD</t>
    </r>
    <r>
      <rPr>
        <sz val="10"/>
        <color rgb="FF000000"/>
        <rFont val="WenQuanYi Zen Hei"/>
        <family val="2"/>
      </rPr>
      <t xml:space="preserve">の円転タイミング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為替予約・外貨預金の活用可否</t>
    </r>
    <r>
      <rPr>
        <sz val="10"/>
        <color rgb="FF000000"/>
        <rFont val="Arial"/>
        <family val="0"/>
        <charset val="1"/>
      </rPr>
      <t xml:space="preserve">)</t>
    </r>
  </si>
  <si>
    <r>
      <rPr>
        <b val="true"/>
        <sz val="13"/>
        <color rgb="FF000000"/>
        <rFont val="WenQuanYi Zen Hei"/>
        <family val="2"/>
      </rPr>
      <t xml:space="preserve">実績データ</t>
    </r>
    <r>
      <rPr>
        <b val="true"/>
        <sz val="13"/>
        <color rgb="FF000000"/>
        <rFont val="Arial"/>
        <family val="0"/>
        <charset val="1"/>
      </rPr>
      <t xml:space="preserve">(</t>
    </r>
    <r>
      <rPr>
        <b val="true"/>
        <sz val="13"/>
        <color rgb="FF000000"/>
        <rFont val="WenQuanYi Zen Hei"/>
        <family val="2"/>
      </rPr>
      <t xml:space="preserve">旭土地建物 勘定科目残高推移表より 令和</t>
    </r>
    <r>
      <rPr>
        <b val="true"/>
        <sz val="13"/>
        <color rgb="FF000000"/>
        <rFont val="Arial"/>
        <family val="0"/>
        <charset val="1"/>
      </rPr>
      <t xml:space="preserve">8</t>
    </r>
    <r>
      <rPr>
        <b val="true"/>
        <sz val="13"/>
        <color rgb="FF000000"/>
        <rFont val="WenQuanYi Zen Hei"/>
        <family val="2"/>
      </rPr>
      <t xml:space="preserve">年度 </t>
    </r>
    <r>
      <rPr>
        <b val="true"/>
        <sz val="13"/>
        <color rgb="FF000000"/>
        <rFont val="Arial"/>
        <family val="0"/>
        <charset val="1"/>
      </rPr>
      <t xml:space="preserve">4</t>
    </r>
    <r>
      <rPr>
        <b val="true"/>
        <sz val="13"/>
        <color rgb="FF000000"/>
        <rFont val="WenQuanYi Zen Hei"/>
        <family val="2"/>
      </rPr>
      <t xml:space="preserve">月〜</t>
    </r>
    <r>
      <rPr>
        <b val="true"/>
        <sz val="13"/>
        <color rgb="FF000000"/>
        <rFont val="Arial"/>
        <family val="0"/>
        <charset val="1"/>
      </rPr>
      <t xml:space="preserve">9</t>
    </r>
    <r>
      <rPr>
        <b val="true"/>
        <sz val="13"/>
        <color rgb="FF000000"/>
        <rFont val="WenQuanYi Zen Hei"/>
        <family val="2"/>
      </rPr>
      <t xml:space="preserve">月</t>
    </r>
    <r>
      <rPr>
        <b val="true"/>
        <sz val="13"/>
        <color rgb="FF000000"/>
        <rFont val="Arial"/>
        <family val="0"/>
        <charset val="1"/>
      </rPr>
      <t xml:space="preserve">)</t>
    </r>
  </si>
  <si>
    <r>
      <rPr>
        <i val="true"/>
        <sz val="10"/>
        <color rgb="FF595959"/>
        <rFont val="WenQuanYi Zen Hei"/>
        <family val="2"/>
      </rPr>
      <t xml:space="preserve">出典</t>
    </r>
    <r>
      <rPr>
        <i val="true"/>
        <sz val="10"/>
        <color rgb="FF595959"/>
        <rFont val="Arial"/>
        <family val="0"/>
        <charset val="1"/>
      </rPr>
      <t xml:space="preserve">: TKC</t>
    </r>
    <r>
      <rPr>
        <i val="true"/>
        <sz val="10"/>
        <color rgb="FF595959"/>
        <rFont val="WenQuanYi Zen Hei"/>
        <family val="2"/>
      </rPr>
      <t xml:space="preserve">勘定科目残高推移表</t>
    </r>
    <r>
      <rPr>
        <i val="true"/>
        <sz val="10"/>
        <color rgb="FF595959"/>
        <rFont val="Arial"/>
        <family val="0"/>
        <charset val="1"/>
      </rPr>
      <t xml:space="preserve">(2026/10/27</t>
    </r>
    <r>
      <rPr>
        <i val="true"/>
        <sz val="10"/>
        <color rgb="FF595959"/>
        <rFont val="WenQuanYi Zen Hei"/>
        <family val="2"/>
      </rPr>
      <t xml:space="preserve">出力</t>
    </r>
    <r>
      <rPr>
        <i val="true"/>
        <sz val="10"/>
        <color rgb="FF595959"/>
        <rFont val="Arial"/>
        <family val="0"/>
        <charset val="1"/>
      </rPr>
      <t xml:space="preserve">)</t>
    </r>
    <r>
      <rPr>
        <i val="true"/>
        <sz val="10"/>
        <color rgb="FF595959"/>
        <rFont val="WenQuanYi Zen Hei"/>
        <family val="2"/>
      </rPr>
      <t xml:space="preserve">。青字</t>
    </r>
    <r>
      <rPr>
        <i val="true"/>
        <sz val="10"/>
        <color rgb="FF595959"/>
        <rFont val="Arial"/>
        <family val="0"/>
        <charset val="1"/>
      </rPr>
      <t xml:space="preserve">=PDF</t>
    </r>
    <r>
      <rPr>
        <i val="true"/>
        <sz val="10"/>
        <color rgb="FF595959"/>
        <rFont val="WenQuanYi Zen Hei"/>
        <family val="2"/>
      </rPr>
      <t xml:space="preserve">から転記した累計残高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WenQuanYi Zen Hei"/>
        <family val="2"/>
      </rPr>
      <t xml:space="preserve">円</t>
    </r>
    <r>
      <rPr>
        <i val="true"/>
        <sz val="10"/>
        <color rgb="FF595959"/>
        <rFont val="Arial"/>
        <family val="0"/>
        <charset val="1"/>
      </rPr>
      <t xml:space="preserve">)</t>
    </r>
    <r>
      <rPr>
        <i val="true"/>
        <sz val="10"/>
        <color rgb="FF595959"/>
        <rFont val="WenQuanYi Zen Hei"/>
        <family val="2"/>
      </rPr>
      <t xml:space="preserve">、黒字</t>
    </r>
    <r>
      <rPr>
        <i val="true"/>
        <sz val="10"/>
        <color rgb="FF595959"/>
        <rFont val="Arial"/>
        <family val="0"/>
        <charset val="1"/>
      </rPr>
      <t xml:space="preserve">=</t>
    </r>
    <r>
      <rPr>
        <i val="true"/>
        <sz val="10"/>
        <color rgb="FF595959"/>
        <rFont val="WenQuanYi Zen Hei"/>
        <family val="2"/>
      </rPr>
      <t xml:space="preserve">月次化の計算。</t>
    </r>
  </si>
  <si>
    <r>
      <rPr>
        <b val="true"/>
        <sz val="10"/>
        <color rgb="FFFFFFFF"/>
        <rFont val="Arial"/>
        <family val="0"/>
        <charset val="1"/>
      </rPr>
      <t xml:space="preserve">4</t>
    </r>
    <r>
      <rPr>
        <b val="true"/>
        <sz val="10"/>
        <color rgb="FFFFFFFF"/>
        <rFont val="WenQuanYi Zen Hei"/>
        <family val="2"/>
      </rPr>
      <t xml:space="preserve">月累計</t>
    </r>
  </si>
  <si>
    <r>
      <rPr>
        <b val="true"/>
        <sz val="10"/>
        <color rgb="FFFFFFFF"/>
        <rFont val="Arial"/>
        <family val="0"/>
        <charset val="1"/>
      </rPr>
      <t xml:space="preserve">5</t>
    </r>
    <r>
      <rPr>
        <b val="true"/>
        <sz val="10"/>
        <color rgb="FFFFFFFF"/>
        <rFont val="WenQuanYi Zen Hei"/>
        <family val="2"/>
      </rPr>
      <t xml:space="preserve">月累計</t>
    </r>
  </si>
  <si>
    <r>
      <rPr>
        <b val="true"/>
        <sz val="10"/>
        <color rgb="FFFFFFFF"/>
        <rFont val="Arial"/>
        <family val="0"/>
        <charset val="1"/>
      </rPr>
      <t xml:space="preserve">6</t>
    </r>
    <r>
      <rPr>
        <b val="true"/>
        <sz val="10"/>
        <color rgb="FFFFFFFF"/>
        <rFont val="WenQuanYi Zen Hei"/>
        <family val="2"/>
      </rPr>
      <t xml:space="preserve">月累計</t>
    </r>
  </si>
  <si>
    <r>
      <rPr>
        <b val="true"/>
        <sz val="10"/>
        <color rgb="FFFFFFFF"/>
        <rFont val="Arial"/>
        <family val="0"/>
        <charset val="1"/>
      </rPr>
      <t xml:space="preserve">7</t>
    </r>
    <r>
      <rPr>
        <b val="true"/>
        <sz val="10"/>
        <color rgb="FFFFFFFF"/>
        <rFont val="WenQuanYi Zen Hei"/>
        <family val="2"/>
      </rPr>
      <t xml:space="preserve">月累計</t>
    </r>
  </si>
  <si>
    <r>
      <rPr>
        <b val="true"/>
        <sz val="10"/>
        <color rgb="FFFFFFFF"/>
        <rFont val="Arial"/>
        <family val="0"/>
        <charset val="1"/>
      </rPr>
      <t xml:space="preserve">8</t>
    </r>
    <r>
      <rPr>
        <b val="true"/>
        <sz val="10"/>
        <color rgb="FFFFFFFF"/>
        <rFont val="WenQuanYi Zen Hei"/>
        <family val="2"/>
      </rPr>
      <t xml:space="preserve">月累計</t>
    </r>
  </si>
  <si>
    <r>
      <rPr>
        <b val="true"/>
        <sz val="10"/>
        <color rgb="FFFFFFFF"/>
        <rFont val="Arial"/>
        <family val="0"/>
        <charset val="1"/>
      </rPr>
      <t xml:space="preserve">9</t>
    </r>
    <r>
      <rPr>
        <b val="true"/>
        <sz val="10"/>
        <color rgb="FFFFFFFF"/>
        <rFont val="WenQuanYi Zen Hei"/>
        <family val="2"/>
      </rPr>
      <t xml:space="preserve">月累計</t>
    </r>
  </si>
  <si>
    <r>
      <rPr>
        <b val="true"/>
        <sz val="10"/>
        <color rgb="FFFFFFFF"/>
        <rFont val="Arial"/>
        <family val="0"/>
        <charset val="1"/>
      </rPr>
      <t xml:space="preserve">4</t>
    </r>
    <r>
      <rPr>
        <b val="true"/>
        <sz val="10"/>
        <color rgb="FFFFFFFF"/>
        <rFont val="WenQuanYi Zen Hei"/>
        <family val="2"/>
      </rPr>
      <t xml:space="preserve">月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月次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</si>
  <si>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5</t>
    </r>
    <r>
      <rPr>
        <b val="true"/>
        <sz val="10"/>
        <color rgb="FFFFFFFF"/>
        <rFont val="WenQuanYi Zen Hei"/>
        <family val="2"/>
      </rPr>
      <t xml:space="preserve">月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月次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</si>
  <si>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6</t>
    </r>
    <r>
      <rPr>
        <b val="true"/>
        <sz val="10"/>
        <color rgb="FFFFFFFF"/>
        <rFont val="WenQuanYi Zen Hei"/>
        <family val="2"/>
      </rPr>
      <t xml:space="preserve">月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月次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</si>
  <si>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7</t>
    </r>
    <r>
      <rPr>
        <b val="true"/>
        <sz val="10"/>
        <color rgb="FFFFFFFF"/>
        <rFont val="WenQuanYi Zen Hei"/>
        <family val="2"/>
      </rPr>
      <t xml:space="preserve">月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月次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</si>
  <si>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8</t>
    </r>
    <r>
      <rPr>
        <b val="true"/>
        <sz val="10"/>
        <color rgb="FFFFFFFF"/>
        <rFont val="WenQuanYi Zen Hei"/>
        <family val="2"/>
      </rPr>
      <t xml:space="preserve">月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月次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</si>
  <si>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9</t>
    </r>
    <r>
      <rPr>
        <b val="true"/>
        <sz val="10"/>
        <color rgb="FFFFFFFF"/>
        <rFont val="WenQuanYi Zen Hei"/>
        <family val="2"/>
      </rPr>
      <t xml:space="preserve">月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月次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</si>
  <si>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不動産賃貸売上高</t>
  </si>
  <si>
    <r>
      <rPr>
        <sz val="10"/>
        <color rgb="FF000000"/>
        <rFont val="WenQuanYi Zen Hei"/>
        <family val="2"/>
      </rPr>
      <t xml:space="preserve">その他売上高</t>
    </r>
    <r>
      <rPr>
        <sz val="10"/>
        <color rgb="FF000000"/>
        <rFont val="Arial"/>
        <family val="0"/>
        <charset val="1"/>
      </rPr>
      <t xml:space="preserve">(4114)</t>
    </r>
  </si>
  <si>
    <t xml:space="preserve">土地売上高</t>
  </si>
  <si>
    <r>
      <rPr>
        <sz val="10"/>
        <color rgb="FF000000"/>
        <rFont val="WenQuanYi Zen Hei"/>
        <family val="2"/>
      </rPr>
      <t xml:space="preserve">減価償却費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非資金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</si>
  <si>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販売費及び一般管理費</t>
    </r>
    <r>
      <rPr>
        <sz val="10"/>
        <color rgb="FF000000"/>
        <rFont val="Arial"/>
        <family val="0"/>
        <charset val="1"/>
      </rPr>
      <t xml:space="preserve">(PDF</t>
    </r>
    <r>
      <rPr>
        <sz val="10"/>
        <color rgb="FF000000"/>
        <rFont val="WenQuanYi Zen Hei"/>
        <family val="2"/>
      </rPr>
      <t xml:space="preserve">合計</t>
    </r>
    <r>
      <rPr>
        <sz val="10"/>
        <color rgb="FF000000"/>
        <rFont val="Arial"/>
        <family val="0"/>
        <charset val="1"/>
      </rPr>
      <t xml:space="preserve">)</t>
    </r>
  </si>
  <si>
    <r>
      <rPr>
        <i val="true"/>
        <sz val="10"/>
        <color rgb="FF000000"/>
        <rFont val="WenQuanYi Zen Hei"/>
        <family val="2"/>
      </rPr>
      <t xml:space="preserve">検算</t>
    </r>
    <r>
      <rPr>
        <i val="true"/>
        <sz val="10"/>
        <color rgb="FF000000"/>
        <rFont val="Arial"/>
        <family val="0"/>
        <charset val="1"/>
      </rPr>
      <t xml:space="preserve">(</t>
    </r>
    <r>
      <rPr>
        <i val="true"/>
        <sz val="10"/>
        <color rgb="FF000000"/>
        <rFont val="WenQuanYi Zen Hei"/>
        <family val="2"/>
      </rPr>
      <t xml:space="preserve">科目合計−</t>
    </r>
    <r>
      <rPr>
        <i val="true"/>
        <sz val="10"/>
        <color rgb="FF000000"/>
        <rFont val="Arial"/>
        <family val="0"/>
        <charset val="1"/>
      </rPr>
      <t xml:space="preserve">PDF</t>
    </r>
    <r>
      <rPr>
        <i val="true"/>
        <sz val="10"/>
        <color rgb="FF000000"/>
        <rFont val="WenQuanYi Zen Hei"/>
        <family val="2"/>
      </rPr>
      <t xml:space="preserve">合計 ※</t>
    </r>
    <r>
      <rPr>
        <i val="true"/>
        <sz val="10"/>
        <color rgb="FF000000"/>
        <rFont val="Arial"/>
        <family val="0"/>
        <charset val="1"/>
      </rPr>
      <t xml:space="preserve">0</t>
    </r>
    <r>
      <rPr>
        <i val="true"/>
        <sz val="10"/>
        <color rgb="FF000000"/>
        <rFont val="WenQuanYi Zen Hei"/>
        <family val="2"/>
      </rPr>
      <t xml:space="preserve">であること</t>
    </r>
    <r>
      <rPr>
        <i val="true"/>
        <sz val="10"/>
        <color rgb="FF000000"/>
        <rFont val="Arial"/>
        <family val="0"/>
        <charset val="1"/>
      </rPr>
      <t xml:space="preserve">)</t>
    </r>
  </si>
  <si>
    <r>
      <rPr>
        <b val="true"/>
        <sz val="11"/>
        <color rgb="FF000000"/>
        <rFont val="WenQuanYi Zen Hei"/>
        <family val="2"/>
      </rPr>
      <t xml:space="preserve">現預金残高の推移</t>
    </r>
    <r>
      <rPr>
        <b val="true"/>
        <sz val="11"/>
        <color rgb="FF000000"/>
        <rFont val="Arial"/>
        <family val="0"/>
        <charset val="1"/>
      </rPr>
      <t xml:space="preserve">(</t>
    </r>
    <r>
      <rPr>
        <b val="true"/>
        <sz val="11"/>
        <color rgb="FF000000"/>
        <rFont val="WenQuanYi Zen Hei"/>
        <family val="2"/>
      </rPr>
      <t xml:space="preserve">各年度 </t>
    </r>
    <r>
      <rPr>
        <b val="true"/>
        <sz val="11"/>
        <color rgb="FF000000"/>
        <rFont val="Arial"/>
        <family val="0"/>
        <charset val="1"/>
      </rPr>
      <t xml:space="preserve">4</t>
    </r>
    <r>
      <rPr>
        <b val="true"/>
        <sz val="11"/>
        <color rgb="FF000000"/>
        <rFont val="WenQuanYi Zen Hei"/>
        <family val="2"/>
      </rPr>
      <t xml:space="preserve">〜</t>
    </r>
    <r>
      <rPr>
        <b val="true"/>
        <sz val="11"/>
        <color rgb="FF000000"/>
        <rFont val="Arial"/>
        <family val="0"/>
        <charset val="1"/>
      </rPr>
      <t xml:space="preserve">9</t>
    </r>
    <r>
      <rPr>
        <b val="true"/>
        <sz val="11"/>
        <color rgb="FF000000"/>
        <rFont val="WenQuanYi Zen Hei"/>
        <family val="2"/>
      </rPr>
      <t xml:space="preserve">月末、円</t>
    </r>
    <r>
      <rPr>
        <b val="true"/>
        <sz val="11"/>
        <color rgb="FF000000"/>
        <rFont val="Arial"/>
        <family val="0"/>
        <charset val="1"/>
      </rPr>
      <t xml:space="preserve">) ※BS</t>
    </r>
    <r>
      <rPr>
        <b val="true"/>
        <sz val="11"/>
        <color rgb="FF000000"/>
        <rFont val="WenQuanYi Zen Hei"/>
        <family val="2"/>
      </rPr>
      <t xml:space="preserve">「現預金小計」</t>
    </r>
  </si>
  <si>
    <r>
      <rPr>
        <b val="true"/>
        <sz val="10"/>
        <color rgb="FFFFFFFF"/>
        <rFont val="Arial"/>
        <family val="0"/>
        <charset val="1"/>
      </rPr>
      <t xml:space="preserve">9</t>
    </r>
    <r>
      <rPr>
        <b val="true"/>
        <sz val="10"/>
        <color rgb="FFFFFFFF"/>
        <rFont val="WenQuanYi Zen Hei"/>
        <family val="2"/>
      </rPr>
      <t xml:space="preserve">月末→翌</t>
    </r>
    <r>
      <rPr>
        <b val="true"/>
        <sz val="10"/>
        <color rgb="FFFFFFFF"/>
        <rFont val="Arial"/>
        <family val="0"/>
        <charset val="1"/>
      </rPr>
      <t xml:space="preserve">4</t>
    </r>
    <r>
      <rPr>
        <b val="true"/>
        <sz val="10"/>
        <color rgb="FFFFFFFF"/>
        <rFont val="WenQuanYi Zen Hei"/>
        <family val="2"/>
      </rPr>
      <t xml:space="preserve">月末の増減</t>
    </r>
  </si>
  <si>
    <r>
      <rPr>
        <sz val="10"/>
        <color rgb="FF000000"/>
        <rFont val="WenQuanYi Zen Hei"/>
        <family val="2"/>
      </rPr>
      <t xml:space="preserve">令和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年度</t>
    </r>
  </si>
  <si>
    <r>
      <rPr>
        <sz val="10"/>
        <color rgb="FF000000"/>
        <rFont val="WenQuanYi Zen Hei"/>
        <family val="2"/>
      </rPr>
      <t xml:space="preserve">令和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年度</t>
    </r>
  </si>
  <si>
    <r>
      <rPr>
        <sz val="10"/>
        <color rgb="FF000000"/>
        <rFont val="WenQuanYi Zen Hei"/>
        <family val="2"/>
      </rPr>
      <t xml:space="preserve">令和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年度</t>
    </r>
  </si>
  <si>
    <r>
      <rPr>
        <sz val="10"/>
        <color rgb="FF000000"/>
        <rFont val="WenQuanYi Zen Hei"/>
        <family val="2"/>
      </rPr>
      <t xml:space="preserve">令和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年度</t>
    </r>
  </si>
  <si>
    <r>
      <rPr>
        <i val="true"/>
        <sz val="10"/>
        <color rgb="FF595959"/>
        <rFont val="WenQuanYi Zen Hei"/>
        <family val="2"/>
      </rPr>
      <t xml:space="preserve">※下期</t>
    </r>
    <r>
      <rPr>
        <i val="true"/>
        <sz val="10"/>
        <color rgb="FF595959"/>
        <rFont val="Arial"/>
        <family val="0"/>
        <charset val="1"/>
      </rPr>
      <t xml:space="preserve">(10</t>
    </r>
    <r>
      <rPr>
        <i val="true"/>
        <sz val="10"/>
        <color rgb="FF595959"/>
        <rFont val="WenQuanYi Zen Hei"/>
        <family val="2"/>
      </rPr>
      <t xml:space="preserve">〜</t>
    </r>
    <r>
      <rPr>
        <i val="true"/>
        <sz val="10"/>
        <color rgb="FF595959"/>
        <rFont val="Arial"/>
        <family val="0"/>
        <charset val="1"/>
      </rPr>
      <t xml:space="preserve">3</t>
    </r>
    <r>
      <rPr>
        <i val="true"/>
        <sz val="10"/>
        <color rgb="FF595959"/>
        <rFont val="WenQuanYi Zen Hei"/>
        <family val="2"/>
      </rPr>
      <t xml:space="preserve">月</t>
    </r>
    <r>
      <rPr>
        <i val="true"/>
        <sz val="10"/>
        <color rgb="FF595959"/>
        <rFont val="Arial"/>
        <family val="0"/>
        <charset val="1"/>
      </rPr>
      <t xml:space="preserve">)</t>
    </r>
    <r>
      <rPr>
        <i val="true"/>
        <sz val="10"/>
        <color rgb="FF595959"/>
        <rFont val="WenQuanYi Zen Hei"/>
        <family val="2"/>
      </rPr>
      <t xml:space="preserve">の月次データは今回の資料に含まれていません。</t>
    </r>
    <r>
      <rPr>
        <i val="true"/>
        <sz val="10"/>
        <color rgb="FF595959"/>
        <rFont val="Arial"/>
        <family val="0"/>
        <charset val="1"/>
      </rPr>
      <t xml:space="preserve">9</t>
    </r>
    <r>
      <rPr>
        <i val="true"/>
        <sz val="10"/>
        <color rgb="FF595959"/>
        <rFont val="WenQuanYi Zen Hei"/>
        <family val="2"/>
      </rPr>
      <t xml:space="preserve">月末→翌</t>
    </r>
    <r>
      <rPr>
        <i val="true"/>
        <sz val="10"/>
        <color rgb="FF595959"/>
        <rFont val="Arial"/>
        <family val="0"/>
        <charset val="1"/>
      </rPr>
      <t xml:space="preserve">4</t>
    </r>
    <r>
      <rPr>
        <i val="true"/>
        <sz val="10"/>
        <color rgb="FF595959"/>
        <rFont val="WenQuanYi Zen Hei"/>
        <family val="2"/>
      </rPr>
      <t xml:space="preserve">月末の増減には貸付金回収・保険解約等の臨時入金も含まれます。</t>
    </r>
  </si>
  <si>
    <r>
      <rPr>
        <b val="true"/>
        <sz val="11"/>
        <color rgb="FF000000"/>
        <rFont val="WenQuanYi Zen Hei"/>
        <family val="2"/>
      </rPr>
      <t xml:space="preserve">賃貸売上</t>
    </r>
    <r>
      <rPr>
        <b val="true"/>
        <sz val="11"/>
        <color rgb="FF000000"/>
        <rFont val="Arial"/>
        <family val="0"/>
        <charset val="1"/>
      </rPr>
      <t xml:space="preserve">(</t>
    </r>
    <r>
      <rPr>
        <b val="true"/>
        <sz val="11"/>
        <color rgb="FF000000"/>
        <rFont val="WenQuanYi Zen Hei"/>
        <family val="2"/>
      </rPr>
      <t xml:space="preserve">累計→月次、円</t>
    </r>
    <r>
      <rPr>
        <b val="true"/>
        <sz val="11"/>
        <color rgb="FF000000"/>
        <rFont val="Arial"/>
        <family val="0"/>
        <charset val="1"/>
      </rPr>
      <t xml:space="preserve">) </t>
    </r>
    <r>
      <rPr>
        <b val="true"/>
        <sz val="11"/>
        <color rgb="FF000000"/>
        <rFont val="WenQuanYi Zen Hei"/>
        <family val="2"/>
      </rPr>
      <t xml:space="preserve">前年度比較</t>
    </r>
  </si>
  <si>
    <r>
      <rPr>
        <i val="true"/>
        <sz val="10"/>
        <color rgb="FF595959"/>
        <rFont val="Arial"/>
        <family val="0"/>
        <charset val="1"/>
      </rPr>
      <t xml:space="preserve">※4</t>
    </r>
    <r>
      <rPr>
        <i val="true"/>
        <sz val="10"/>
        <color rgb="FF595959"/>
        <rFont val="WenQuanYi Zen Hei"/>
        <family val="2"/>
      </rPr>
      <t xml:space="preserve">月に年間分と思われる大口計上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WenQuanYi Zen Hei"/>
        <family val="2"/>
      </rPr>
      <t xml:space="preserve">約</t>
    </r>
    <r>
      <rPr>
        <i val="true"/>
        <sz val="10"/>
        <color rgb="FF595959"/>
        <rFont val="Arial"/>
        <family val="0"/>
        <charset val="1"/>
      </rPr>
      <t xml:space="preserve">2,500</t>
    </r>
    <r>
      <rPr>
        <i val="true"/>
        <sz val="10"/>
        <color rgb="FF595959"/>
        <rFont val="WenQuanYi Zen Hei"/>
        <family val="2"/>
      </rPr>
      <t xml:space="preserve">万円</t>
    </r>
    <r>
      <rPr>
        <i val="true"/>
        <sz val="10"/>
        <color rgb="FF595959"/>
        <rFont val="Arial"/>
        <family val="0"/>
        <charset val="1"/>
      </rPr>
      <t xml:space="preserve">)</t>
    </r>
    <r>
      <rPr>
        <i val="true"/>
        <sz val="10"/>
        <color rgb="FF595959"/>
        <rFont val="WenQuanYi Zen Hei"/>
        <family val="2"/>
      </rPr>
      <t xml:space="preserve">があり、毎年同じパターン。</t>
    </r>
    <r>
      <rPr>
        <i val="true"/>
        <sz val="10"/>
        <color rgb="FF595959"/>
        <rFont val="Arial"/>
        <family val="0"/>
        <charset val="1"/>
      </rPr>
      <t xml:space="preserve">5</t>
    </r>
    <r>
      <rPr>
        <i val="true"/>
        <sz val="10"/>
        <color rgb="FF595959"/>
        <rFont val="WenQuanYi Zen Hei"/>
        <family val="2"/>
      </rPr>
      <t xml:space="preserve">月以降は月</t>
    </r>
    <r>
      <rPr>
        <i val="true"/>
        <sz val="10"/>
        <color rgb="FF595959"/>
        <rFont val="Arial"/>
        <family val="0"/>
        <charset val="1"/>
      </rPr>
      <t xml:space="preserve">400</t>
    </r>
    <r>
      <rPr>
        <i val="true"/>
        <sz val="10"/>
        <color rgb="FF595959"/>
        <rFont val="WenQuanYi Zen Hei"/>
        <family val="2"/>
      </rPr>
      <t xml:space="preserve">万円前後で、令和</t>
    </r>
    <r>
      <rPr>
        <i val="true"/>
        <sz val="10"/>
        <color rgb="FF595959"/>
        <rFont val="Arial"/>
        <family val="0"/>
        <charset val="1"/>
      </rPr>
      <t xml:space="preserve">8</t>
    </r>
    <r>
      <rPr>
        <i val="true"/>
        <sz val="10"/>
        <color rgb="FF595959"/>
        <rFont val="WenQuanYi Zen Hei"/>
        <family val="2"/>
      </rPr>
      <t xml:space="preserve">年度は</t>
    </r>
    <r>
      <rPr>
        <i val="true"/>
        <sz val="10"/>
        <color rgb="FF595959"/>
        <rFont val="Arial"/>
        <family val="0"/>
        <charset val="1"/>
      </rPr>
      <t xml:space="preserve">8</t>
    </r>
    <r>
      <rPr>
        <i val="true"/>
        <sz val="10"/>
        <color rgb="FF595959"/>
        <rFont val="WenQuanYi Zen Hei"/>
        <family val="2"/>
      </rPr>
      <t xml:space="preserve">〜</t>
    </r>
    <r>
      <rPr>
        <i val="true"/>
        <sz val="10"/>
        <color rgb="FF595959"/>
        <rFont val="Arial"/>
        <family val="0"/>
        <charset val="1"/>
      </rPr>
      <t xml:space="preserve">9</t>
    </r>
    <r>
      <rPr>
        <i val="true"/>
        <sz val="10"/>
        <color rgb="FF595959"/>
        <rFont val="WenQuanYi Zen Hei"/>
        <family val="2"/>
      </rPr>
      <t xml:space="preserve">月に低下。</t>
    </r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</si>
</sst>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,;\(#,##0,\);\-"/>
    <numFmt numFmtId="166" formatCode="yyyy/m"/>
    <numFmt numFmtId="167" formatCode="0.0&quot;か月&quot;"/>
    <numFmt numFmtId="168" formatCode="0.0%"/>
    <numFmt numFmtId="169" formatCode="0.0"/>
    <numFmt numFmtId="170" formatCode="#,##0,"/>
    <numFmt numFmtId="171" formatCode="#,##0;\(#,##0\);\-"/>
    <numFmt numFmtId="172" formatCode="#,##0"/>
    <numFmt numFmtId="173" formatCode="0.00"/>
    <numFmt numFmtId="174" formatCode="0"/>
    <numFmt numFmtId="175" formatCode="0.000%"/>
    <numFmt numFmtId="176" formatCode="0%;\-0%;\-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WenQuanYi Zen Hei"/>
      <family val="2"/>
    </font>
    <font>
      <b val="true"/>
      <sz val="14"/>
      <color rgb="FF000000"/>
      <name val="Arial"/>
      <family val="0"/>
      <charset val="1"/>
    </font>
    <font>
      <i val="true"/>
      <sz val="10"/>
      <color rgb="FF595959"/>
      <name val="WenQuanYi Zen Hei"/>
      <family val="2"/>
    </font>
    <font>
      <i val="true"/>
      <sz val="10"/>
      <color rgb="FF595959"/>
      <name val="Arial"/>
      <family val="0"/>
      <charset val="1"/>
    </font>
    <font>
      <b val="true"/>
      <sz val="10"/>
      <color rgb="FF000000"/>
      <name val="WenQuanYi Zen Hei"/>
      <family val="2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WenQuanYi Zen Hei"/>
      <family val="2"/>
    </font>
    <font>
      <sz val="10"/>
      <color rgb="FF000000"/>
      <name val="WenQuanYi Zen Hei"/>
      <family val="2"/>
    </font>
    <font>
      <sz val="10"/>
      <color rgb="FF008000"/>
      <name val="Arial"/>
      <family val="0"/>
      <charset val="1"/>
    </font>
    <font>
      <b val="true"/>
      <sz val="18"/>
      <color rgb="FF000000"/>
      <name val="WenQuanYi Zen Hei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3"/>
      <color rgb="FF000000"/>
      <name val="WenQuanYi Zen Hei"/>
      <family val="2"/>
    </font>
    <font>
      <b val="true"/>
      <sz val="13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595959"/>
      <name val="Arial"/>
      <family val="0"/>
      <charset val="1"/>
    </font>
    <font>
      <sz val="10"/>
      <color rgb="FF595959"/>
      <name val="WenQuanYi Zen Hei"/>
      <family val="2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8"/>
      <color rgb="FF595959"/>
      <name val="WenQuanYi Zen Hei"/>
      <family val="2"/>
    </font>
    <font>
      <b val="true"/>
      <sz val="11"/>
      <color rgb="FF000000"/>
      <name val="WenQuanYi Zen Hei"/>
      <family val="2"/>
    </font>
    <font>
      <b val="true"/>
      <sz val="11"/>
      <color rgb="FF000000"/>
      <name val="Arial"/>
      <family val="0"/>
      <charset val="1"/>
    </font>
    <font>
      <i val="true"/>
      <sz val="10"/>
      <color rgb="FF000000"/>
      <name val="WenQuanYi Zen Hei"/>
      <family val="2"/>
    </font>
    <font>
      <i val="true"/>
      <sz val="10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1F3864"/>
        <bgColor rgb="FF333333"/>
      </patternFill>
    </fill>
    <fill>
      <patternFill patternType="solid">
        <fgColor rgb="FFFFFF99"/>
        <bgColor rgb="FFF2F2F2"/>
      </patternFill>
    </fill>
    <fill>
      <patternFill patternType="solid">
        <fgColor rgb="FFF2F2F2"/>
        <bgColor rgb="FFEDEDED"/>
      </patternFill>
    </fill>
    <fill>
      <patternFill patternType="solid">
        <fgColor rgb="FFEDEDED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2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2F2F2"/>
      <rgbColor rgb="FFEDED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現預金残高の推移(千円)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サマリー!G5</c:f>
              <c:strCache>
                <c:ptCount val="1"/>
                <c:pt idx="0">
                  <c:v>社債なし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サマリー!$F$6:$F$23</c:f>
              <c:strCache>
                <c:ptCount val="18"/>
                <c:pt idx="0">
                  <c:v>2026/10</c:v>
                </c:pt>
                <c:pt idx="1">
                  <c:v>2026/11</c:v>
                </c:pt>
                <c:pt idx="2">
                  <c:v>2026/12</c:v>
                </c:pt>
                <c:pt idx="3">
                  <c:v>2027/1</c:v>
                </c:pt>
                <c:pt idx="4">
                  <c:v>2027/2</c:v>
                </c:pt>
                <c:pt idx="5">
                  <c:v>2027/3</c:v>
                </c:pt>
                <c:pt idx="6">
                  <c:v>2027/4</c:v>
                </c:pt>
                <c:pt idx="7">
                  <c:v>2027/5</c:v>
                </c:pt>
                <c:pt idx="8">
                  <c:v>2027/6</c:v>
                </c:pt>
                <c:pt idx="9">
                  <c:v>2027/7</c:v>
                </c:pt>
                <c:pt idx="10">
                  <c:v>2027/8</c:v>
                </c:pt>
                <c:pt idx="11">
                  <c:v>2027/9</c:v>
                </c:pt>
                <c:pt idx="12">
                  <c:v>2027/10</c:v>
                </c:pt>
                <c:pt idx="13">
                  <c:v>2027/11</c:v>
                </c:pt>
                <c:pt idx="14">
                  <c:v>2027/12</c:v>
                </c:pt>
                <c:pt idx="15">
                  <c:v>2028/1</c:v>
                </c:pt>
                <c:pt idx="16">
                  <c:v>2028/2</c:v>
                </c:pt>
                <c:pt idx="17">
                  <c:v>2028/3</c:v>
                </c:pt>
              </c:strCache>
            </c:strRef>
          </c:cat>
          <c:val>
            <c:numRef>
              <c:f>サマリー!$G$6:$G$23</c:f>
              <c:numCache>
                <c:formatCode>#,##0,;\(#,##0,\);\-</c:formatCode>
                <c:ptCount val="18"/>
                <c:pt idx="0">
                  <c:v>205530619</c:v>
                </c:pt>
                <c:pt idx="1">
                  <c:v>203121791</c:v>
                </c:pt>
                <c:pt idx="2">
                  <c:v>200712963</c:v>
                </c:pt>
                <c:pt idx="3">
                  <c:v>198304135</c:v>
                </c:pt>
                <c:pt idx="4">
                  <c:v>195895307</c:v>
                </c:pt>
                <c:pt idx="5">
                  <c:v>193486479</c:v>
                </c:pt>
                <c:pt idx="6">
                  <c:v>186012210</c:v>
                </c:pt>
                <c:pt idx="7">
                  <c:v>181047136</c:v>
                </c:pt>
                <c:pt idx="8">
                  <c:v>172016008</c:v>
                </c:pt>
                <c:pt idx="9">
                  <c:v>169366136</c:v>
                </c:pt>
                <c:pt idx="10">
                  <c:v>168560083</c:v>
                </c:pt>
                <c:pt idx="11">
                  <c:v>162997447</c:v>
                </c:pt>
                <c:pt idx="12">
                  <c:v>160588619</c:v>
                </c:pt>
                <c:pt idx="13">
                  <c:v>158179791</c:v>
                </c:pt>
                <c:pt idx="14">
                  <c:v>155770963</c:v>
                </c:pt>
                <c:pt idx="15">
                  <c:v>153362135</c:v>
                </c:pt>
                <c:pt idx="16">
                  <c:v>150953307</c:v>
                </c:pt>
                <c:pt idx="17">
                  <c:v>148544479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サマリー!H5</c:f>
              <c:strCache>
                <c:ptCount val="1"/>
                <c:pt idx="0">
                  <c:v>社債あり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サマリー!$F$6:$F$23</c:f>
              <c:strCache>
                <c:ptCount val="18"/>
                <c:pt idx="0">
                  <c:v>2026/10</c:v>
                </c:pt>
                <c:pt idx="1">
                  <c:v>2026/11</c:v>
                </c:pt>
                <c:pt idx="2">
                  <c:v>2026/12</c:v>
                </c:pt>
                <c:pt idx="3">
                  <c:v>2027/1</c:v>
                </c:pt>
                <c:pt idx="4">
                  <c:v>2027/2</c:v>
                </c:pt>
                <c:pt idx="5">
                  <c:v>2027/3</c:v>
                </c:pt>
                <c:pt idx="6">
                  <c:v>2027/4</c:v>
                </c:pt>
                <c:pt idx="7">
                  <c:v>2027/5</c:v>
                </c:pt>
                <c:pt idx="8">
                  <c:v>2027/6</c:v>
                </c:pt>
                <c:pt idx="9">
                  <c:v>2027/7</c:v>
                </c:pt>
                <c:pt idx="10">
                  <c:v>2027/8</c:v>
                </c:pt>
                <c:pt idx="11">
                  <c:v>2027/9</c:v>
                </c:pt>
                <c:pt idx="12">
                  <c:v>2027/10</c:v>
                </c:pt>
                <c:pt idx="13">
                  <c:v>2027/11</c:v>
                </c:pt>
                <c:pt idx="14">
                  <c:v>2027/12</c:v>
                </c:pt>
                <c:pt idx="15">
                  <c:v>2028/1</c:v>
                </c:pt>
                <c:pt idx="16">
                  <c:v>2028/2</c:v>
                </c:pt>
                <c:pt idx="17">
                  <c:v>2028/3</c:v>
                </c:pt>
              </c:strCache>
            </c:strRef>
          </c:cat>
          <c:val>
            <c:numRef>
              <c:f>サマリー!$H$6:$H$23</c:f>
              <c:numCache>
                <c:formatCode>#,##0,;\(#,##0,\);\-</c:formatCode>
                <c:ptCount val="18"/>
                <c:pt idx="0">
                  <c:v>205530619</c:v>
                </c:pt>
                <c:pt idx="1">
                  <c:v>163496791</c:v>
                </c:pt>
                <c:pt idx="2">
                  <c:v>161087963</c:v>
                </c:pt>
                <c:pt idx="3">
                  <c:v>158679135</c:v>
                </c:pt>
                <c:pt idx="4">
                  <c:v>156270307</c:v>
                </c:pt>
                <c:pt idx="5">
                  <c:v>153861479</c:v>
                </c:pt>
                <c:pt idx="6">
                  <c:v>146387210</c:v>
                </c:pt>
                <c:pt idx="7">
                  <c:v>142592906.125</c:v>
                </c:pt>
                <c:pt idx="8">
                  <c:v>133561778.125</c:v>
                </c:pt>
                <c:pt idx="9">
                  <c:v>130911906.125</c:v>
                </c:pt>
                <c:pt idx="10">
                  <c:v>130105853.125</c:v>
                </c:pt>
                <c:pt idx="11">
                  <c:v>124543217.125</c:v>
                </c:pt>
                <c:pt idx="12">
                  <c:v>122134389.125</c:v>
                </c:pt>
                <c:pt idx="13">
                  <c:v>120896331.25</c:v>
                </c:pt>
                <c:pt idx="14">
                  <c:v>118487503.25</c:v>
                </c:pt>
                <c:pt idx="15">
                  <c:v>116078675.25</c:v>
                </c:pt>
                <c:pt idx="16">
                  <c:v>113669847.25</c:v>
                </c:pt>
                <c:pt idx="17">
                  <c:v>111261019.25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7026637"/>
        <c:axId val="40653084"/>
      </c:lineChart>
      <c:catAx>
        <c:axId val="77026637"/>
        <c:scaling>
          <c:orientation val="minMax"/>
        </c:scaling>
        <c:delete val="0"/>
        <c:axPos val="b"/>
        <c:numFmt formatCode="yyyy/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653084"/>
        <c:crosses val="autoZero"/>
        <c:auto val="1"/>
        <c:lblAlgn val="ctr"/>
        <c:lblOffset val="100"/>
        <c:noMultiLvlLbl val="0"/>
      </c:catAx>
      <c:valAx>
        <c:axId val="406530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,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0266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26</xdr:row>
      <xdr:rowOff>134640</xdr:rowOff>
    </xdr:from>
    <xdr:to>
      <xdr:col>5</xdr:col>
      <xdr:colOff>65520</xdr:colOff>
      <xdr:row>41</xdr:row>
      <xdr:rowOff>156600</xdr:rowOff>
    </xdr:to>
    <xdr:graphicFrame>
      <xdr:nvGraphicFramePr>
        <xdr:cNvPr id="0" name="Chart 1"/>
        <xdr:cNvGraphicFramePr/>
      </xdr:nvGraphicFramePr>
      <xdr:xfrm>
        <a:off x="0" y="731520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6"/>
    <col collapsed="false" customWidth="true" hidden="false" outlineLevel="0" max="5" min="5" style="0" width="3"/>
    <col collapsed="false" customWidth="true" hidden="false" outlineLevel="0" max="6" min="6" style="0" width="10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  <c r="D4" s="4"/>
      <c r="F4" s="5" t="s">
        <v>3</v>
      </c>
    </row>
    <row r="5" customFormat="false" ht="15" hidden="false" customHeight="false" outlineLevel="0" collapsed="false">
      <c r="A5" s="6"/>
      <c r="B5" s="7" t="s">
        <v>4</v>
      </c>
      <c r="C5" s="7" t="s">
        <v>5</v>
      </c>
      <c r="D5" s="7" t="s">
        <v>6</v>
      </c>
      <c r="F5" s="5" t="s">
        <v>7</v>
      </c>
      <c r="G5" s="5" t="s">
        <v>4</v>
      </c>
      <c r="H5" s="5" t="s">
        <v>5</v>
      </c>
    </row>
    <row r="6" customFormat="false" ht="15" hidden="false" customHeight="false" outlineLevel="0" collapsed="false">
      <c r="A6" s="8" t="s">
        <v>8</v>
      </c>
      <c r="B6" s="9" t="n">
        <f aca="false">資金繰り表!C6</f>
        <v>207939447</v>
      </c>
      <c r="C6" s="9" t="n">
        <f aca="false">資金繰り表!C6</f>
        <v>207939447</v>
      </c>
      <c r="D6" s="10" t="n">
        <f aca="false">C6-B6</f>
        <v>0</v>
      </c>
      <c r="F6" s="11" t="n">
        <f aca="false">資金繰り表!C4</f>
        <v>46296</v>
      </c>
      <c r="G6" s="9" t="n">
        <f aca="false">資金繰り表!C29</f>
        <v>205530619</v>
      </c>
      <c r="H6" s="9" t="n">
        <f aca="false">資金繰り表!C37</f>
        <v>205530619</v>
      </c>
    </row>
    <row r="7" customFormat="false" ht="15" hidden="false" customHeight="false" outlineLevel="0" collapsed="false">
      <c r="A7" s="8" t="s">
        <v>9</v>
      </c>
      <c r="B7" s="9" t="n">
        <f aca="false">資金繰り表!J6</f>
        <v>193486479</v>
      </c>
      <c r="C7" s="9" t="n">
        <f aca="false">資金繰り表!J6+資金繰り表!H36</f>
        <v>153861479</v>
      </c>
      <c r="D7" s="10" t="n">
        <f aca="false">C7-B7</f>
        <v>-39625000</v>
      </c>
      <c r="F7" s="11" t="n">
        <f aca="false">資金繰り表!D4</f>
        <v>46327</v>
      </c>
      <c r="G7" s="9" t="n">
        <f aca="false">資金繰り表!D29</f>
        <v>203121791</v>
      </c>
      <c r="H7" s="9" t="n">
        <f aca="false">資金繰り表!D37</f>
        <v>163496791</v>
      </c>
    </row>
    <row r="8" customFormat="false" ht="15" hidden="false" customHeight="false" outlineLevel="0" collapsed="false">
      <c r="A8" s="8" t="s">
        <v>10</v>
      </c>
      <c r="B8" s="9" t="n">
        <f aca="false">資金繰り表!V29</f>
        <v>148544479</v>
      </c>
      <c r="C8" s="9" t="n">
        <f aca="false">資金繰り表!V37</f>
        <v>111261019.25</v>
      </c>
      <c r="D8" s="10" t="n">
        <f aca="false">C8-B8</f>
        <v>-37283459.75</v>
      </c>
      <c r="F8" s="11" t="n">
        <f aca="false">資金繰り表!E4</f>
        <v>46357</v>
      </c>
      <c r="G8" s="9" t="n">
        <f aca="false">資金繰り表!E29</f>
        <v>200712963</v>
      </c>
      <c r="H8" s="9" t="n">
        <f aca="false">資金繰り表!E37</f>
        <v>161087963</v>
      </c>
    </row>
    <row r="9" customFormat="false" ht="15" hidden="false" customHeight="false" outlineLevel="0" collapsed="false">
      <c r="A9" s="8" t="s">
        <v>11</v>
      </c>
      <c r="B9" s="9" t="n">
        <f aca="false">資金繰り表!V27</f>
        <v>-44942000</v>
      </c>
      <c r="C9" s="9" t="n">
        <f aca="false">資金繰り表!V27+資金繰り表!V35</f>
        <v>-42600459.75</v>
      </c>
      <c r="D9" s="10" t="n">
        <f aca="false">C9-B9</f>
        <v>2341540.25</v>
      </c>
      <c r="F9" s="11" t="n">
        <f aca="false">資金繰り表!F4</f>
        <v>46388</v>
      </c>
      <c r="G9" s="9" t="n">
        <f aca="false">資金繰り表!F29</f>
        <v>198304135</v>
      </c>
      <c r="H9" s="9" t="n">
        <f aca="false">資金繰り表!F37</f>
        <v>158679135</v>
      </c>
    </row>
    <row r="10" customFormat="false" ht="15" hidden="false" customHeight="false" outlineLevel="0" collapsed="false">
      <c r="A10" s="8" t="s">
        <v>12</v>
      </c>
      <c r="B10" s="9" t="n">
        <f aca="false">資金繰り表!V13</f>
        <v>74056608</v>
      </c>
      <c r="C10" s="9" t="n">
        <f aca="false">資金繰り表!V13+資金繰り表!V33</f>
        <v>76398148.25</v>
      </c>
      <c r="D10" s="10" t="n">
        <f aca="false">C10-B10</f>
        <v>2341540.25</v>
      </c>
      <c r="F10" s="11" t="n">
        <f aca="false">資金繰り表!G4</f>
        <v>46419</v>
      </c>
      <c r="G10" s="9" t="n">
        <f aca="false">資金繰り表!G29</f>
        <v>195895307</v>
      </c>
      <c r="H10" s="9" t="n">
        <f aca="false">資金繰り表!G37</f>
        <v>156270307</v>
      </c>
    </row>
    <row r="11" customFormat="false" ht="15" hidden="false" customHeight="false" outlineLevel="0" collapsed="false">
      <c r="A11" s="8" t="s">
        <v>13</v>
      </c>
      <c r="B11" s="9" t="n">
        <f aca="false">資金繰り表!V26</f>
        <v>118998608</v>
      </c>
      <c r="C11" s="9" t="n">
        <f aca="false">資金繰り表!V26</f>
        <v>118998608</v>
      </c>
      <c r="D11" s="10" t="n">
        <f aca="false">C11-B11</f>
        <v>0</v>
      </c>
      <c r="F11" s="11" t="n">
        <f aca="false">資金繰り表!H4</f>
        <v>46447</v>
      </c>
      <c r="G11" s="9" t="n">
        <f aca="false">資金繰り表!H29</f>
        <v>193486479</v>
      </c>
      <c r="H11" s="9" t="n">
        <f aca="false">資金繰り表!H37</f>
        <v>153861479</v>
      </c>
    </row>
    <row r="12" customFormat="false" ht="15" hidden="false" customHeight="false" outlineLevel="0" collapsed="false">
      <c r="A12" s="8" t="s">
        <v>14</v>
      </c>
      <c r="B12" s="9" t="n">
        <f aca="false">MIN(資金繰り表!C29,資金繰り表!D29,資金繰り表!E29,資金繰り表!F29,資金繰り表!G29,資金繰り表!H29,資金繰り表!J29,資金繰り表!K29,資金繰り表!L29,資金繰り表!M29,資金繰り表!N29,資金繰り表!O29,資金繰り表!P29,資金繰り表!Q29,資金繰り表!R29,資金繰り表!S29,資金繰り表!T29,資金繰り表!U29)</f>
        <v>148544479</v>
      </c>
      <c r="C12" s="9" t="n">
        <f aca="false">MIN(資金繰り表!C37,資金繰り表!D37,資金繰り表!E37,資金繰り表!F37,資金繰り表!G37,資金繰り表!H37,資金繰り表!J37,資金繰り表!K37,資金繰り表!L37,資金繰り表!M37,資金繰り表!N37,資金繰り表!O37,資金繰り表!P37,資金繰り表!Q37,資金繰り表!R37,資金繰り表!S37,資金繰り表!T37,資金繰り表!U37)</f>
        <v>111261019.25</v>
      </c>
      <c r="D12" s="10" t="n">
        <f aca="false">C12-B12</f>
        <v>-37283459.75</v>
      </c>
      <c r="F12" s="11" t="n">
        <f aca="false">資金繰り表!J4</f>
        <v>46478</v>
      </c>
      <c r="G12" s="9" t="n">
        <f aca="false">資金繰り表!J29</f>
        <v>186012210</v>
      </c>
      <c r="H12" s="9" t="n">
        <f aca="false">資金繰り表!J37</f>
        <v>146387210</v>
      </c>
    </row>
    <row r="13" customFormat="false" ht="15" hidden="false" customHeight="false" outlineLevel="0" collapsed="false">
      <c r="A13" s="8" t="s">
        <v>15</v>
      </c>
      <c r="B13" s="9" t="n">
        <f aca="false">資金繰り表!V26/12</f>
        <v>9916550.66666667</v>
      </c>
      <c r="C13" s="9" t="n">
        <f aca="false">資金繰り表!V26/12</f>
        <v>9916550.66666667</v>
      </c>
      <c r="D13" s="10" t="n">
        <f aca="false">C13-B13</f>
        <v>0</v>
      </c>
      <c r="F13" s="11" t="n">
        <f aca="false">資金繰り表!K4</f>
        <v>46508</v>
      </c>
      <c r="G13" s="9" t="n">
        <f aca="false">資金繰り表!K29</f>
        <v>181047136</v>
      </c>
      <c r="H13" s="9" t="n">
        <f aca="false">資金繰り表!K37</f>
        <v>142592906.125</v>
      </c>
    </row>
    <row r="14" customFormat="false" ht="15" hidden="false" customHeight="false" outlineLevel="0" collapsed="false">
      <c r="A14" s="8" t="s">
        <v>16</v>
      </c>
      <c r="B14" s="12" t="n">
        <f aca="false">B8/B13</f>
        <v>14.9794504150838</v>
      </c>
      <c r="C14" s="12" t="n">
        <f aca="false">C8/C13</f>
        <v>11.2197298223858</v>
      </c>
      <c r="D14" s="13" t="n">
        <f aca="false">C14-B14</f>
        <v>-3.75972059269803</v>
      </c>
      <c r="F14" s="11" t="n">
        <f aca="false">資金繰り表!L4</f>
        <v>46539</v>
      </c>
      <c r="G14" s="9" t="n">
        <f aca="false">資金繰り表!L29</f>
        <v>172016008</v>
      </c>
      <c r="H14" s="9" t="n">
        <f aca="false">資金繰り表!L37</f>
        <v>133561778.125</v>
      </c>
    </row>
    <row r="15" customFormat="false" ht="15" hidden="false" customHeight="false" outlineLevel="0" collapsed="false">
      <c r="A15" s="8" t="s">
        <v>17</v>
      </c>
      <c r="C15" s="9" t="n">
        <f aca="false">社債検討!B8</f>
        <v>2341540.25</v>
      </c>
      <c r="F15" s="11" t="n">
        <f aca="false">資金繰り表!M4</f>
        <v>46569</v>
      </c>
      <c r="G15" s="9" t="n">
        <f aca="false">資金繰り表!M29</f>
        <v>169366136</v>
      </c>
      <c r="H15" s="9" t="n">
        <f aca="false">資金繰り表!M37</f>
        <v>130911906.125</v>
      </c>
    </row>
    <row r="16" customFormat="false" ht="15" hidden="false" customHeight="false" outlineLevel="0" collapsed="false">
      <c r="A16" s="8" t="s">
        <v>18</v>
      </c>
      <c r="C16" s="14" t="n">
        <f aca="false">社債検討!B10</f>
        <v>0.0590924984227129</v>
      </c>
      <c r="F16" s="11" t="n">
        <f aca="false">資金繰り表!N4</f>
        <v>46600</v>
      </c>
      <c r="G16" s="9" t="n">
        <f aca="false">資金繰り表!N29</f>
        <v>168560083</v>
      </c>
      <c r="H16" s="9" t="n">
        <f aca="false">資金繰り表!N37</f>
        <v>130105853.125</v>
      </c>
    </row>
    <row r="17" customFormat="false" ht="15" hidden="false" customHeight="false" outlineLevel="0" collapsed="false">
      <c r="A17" s="8" t="s">
        <v>19</v>
      </c>
      <c r="C17" s="15" t="n">
        <f aca="false">社債検討!B11</f>
        <v>130.401517</v>
      </c>
      <c r="F17" s="11" t="n">
        <f aca="false">資金繰り表!O4</f>
        <v>46631</v>
      </c>
      <c r="G17" s="9" t="n">
        <f aca="false">資金繰り表!O29</f>
        <v>162997447</v>
      </c>
      <c r="H17" s="9" t="n">
        <f aca="false">資金繰り表!O37</f>
        <v>124543217.125</v>
      </c>
    </row>
    <row r="18" customFormat="false" ht="15" hidden="false" customHeight="false" outlineLevel="0" collapsed="false">
      <c r="F18" s="11" t="n">
        <f aca="false">資金繰り表!P4</f>
        <v>46661</v>
      </c>
      <c r="G18" s="9" t="n">
        <f aca="false">資金繰り表!P29</f>
        <v>160588619</v>
      </c>
      <c r="H18" s="9" t="n">
        <f aca="false">資金繰り表!P37</f>
        <v>122134389.125</v>
      </c>
    </row>
    <row r="19" customFormat="false" ht="15" hidden="false" customHeight="false" outlineLevel="0" collapsed="false">
      <c r="A19" s="3" t="s">
        <v>20</v>
      </c>
      <c r="B19" s="4"/>
      <c r="C19" s="4"/>
      <c r="D19" s="4"/>
      <c r="F19" s="11" t="n">
        <f aca="false">資金繰り表!Q4</f>
        <v>46692</v>
      </c>
      <c r="G19" s="9" t="n">
        <f aca="false">資金繰り表!Q29</f>
        <v>158179791</v>
      </c>
      <c r="H19" s="9" t="n">
        <f aca="false">資金繰り表!Q37</f>
        <v>120896331.25</v>
      </c>
    </row>
    <row r="20" customFormat="false" ht="43.5" hidden="false" customHeight="true" outlineLevel="0" collapsed="false">
      <c r="A20" s="16" t="s">
        <v>21</v>
      </c>
      <c r="B20" s="16"/>
      <c r="C20" s="16"/>
      <c r="D20" s="16"/>
      <c r="F20" s="11" t="n">
        <f aca="false">資金繰り表!R4</f>
        <v>46722</v>
      </c>
      <c r="G20" s="9" t="n">
        <f aca="false">資金繰り表!R29</f>
        <v>155770963</v>
      </c>
      <c r="H20" s="9" t="n">
        <f aca="false">資金繰り表!R37</f>
        <v>118487503.25</v>
      </c>
    </row>
    <row r="21" customFormat="false" ht="43.5" hidden="false" customHeight="true" outlineLevel="0" collapsed="false">
      <c r="A21" s="16" t="s">
        <v>22</v>
      </c>
      <c r="B21" s="16"/>
      <c r="C21" s="16"/>
      <c r="D21" s="16"/>
      <c r="F21" s="11" t="n">
        <f aca="false">資金繰り表!S4</f>
        <v>46753</v>
      </c>
      <c r="G21" s="9" t="n">
        <f aca="false">資金繰り表!S29</f>
        <v>153362135</v>
      </c>
      <c r="H21" s="9" t="n">
        <f aca="false">資金繰り表!S37</f>
        <v>116078675.25</v>
      </c>
    </row>
    <row r="22" customFormat="false" ht="43.5" hidden="false" customHeight="true" outlineLevel="0" collapsed="false">
      <c r="A22" s="16" t="s">
        <v>23</v>
      </c>
      <c r="B22" s="16"/>
      <c r="C22" s="16"/>
      <c r="D22" s="16"/>
      <c r="F22" s="11" t="n">
        <f aca="false">資金繰り表!T4</f>
        <v>46784</v>
      </c>
      <c r="G22" s="9" t="n">
        <f aca="false">資金繰り表!T29</f>
        <v>150953307</v>
      </c>
      <c r="H22" s="9" t="n">
        <f aca="false">資金繰り表!T37</f>
        <v>113669847.25</v>
      </c>
    </row>
    <row r="23" customFormat="false" ht="43.5" hidden="false" customHeight="true" outlineLevel="0" collapsed="false">
      <c r="A23" s="16" t="s">
        <v>24</v>
      </c>
      <c r="B23" s="16"/>
      <c r="C23" s="16"/>
      <c r="D23" s="16"/>
      <c r="F23" s="11" t="n">
        <f aca="false">資金繰り表!U4</f>
        <v>46813</v>
      </c>
      <c r="G23" s="9" t="n">
        <f aca="false">資金繰り表!U29</f>
        <v>148544479</v>
      </c>
      <c r="H23" s="9" t="n">
        <f aca="false">資金繰り表!U37</f>
        <v>111261019.25</v>
      </c>
    </row>
    <row r="24" customFormat="false" ht="43.5" hidden="false" customHeight="true" outlineLevel="0" collapsed="false">
      <c r="A24" s="16" t="s">
        <v>25</v>
      </c>
      <c r="B24" s="16"/>
      <c r="C24" s="16"/>
      <c r="D24" s="16"/>
    </row>
    <row r="25" customFormat="false" ht="43.5" hidden="false" customHeight="true" outlineLevel="0" collapsed="false">
      <c r="A25" s="16" t="s">
        <v>26</v>
      </c>
      <c r="B25" s="16"/>
      <c r="C25" s="16"/>
      <c r="D25" s="16"/>
    </row>
  </sheetData>
  <mergeCells count="6">
    <mergeCell ref="A20:D20"/>
    <mergeCell ref="A21:D21"/>
    <mergeCell ref="A22:D22"/>
    <mergeCell ref="A23:D23"/>
    <mergeCell ref="A24:D24"/>
    <mergeCell ref="A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16" min="4" style="0" width="12"/>
  </cols>
  <sheetData>
    <row r="1" customFormat="false" ht="17.15" hidden="false" customHeight="false" outlineLevel="0" collapsed="false">
      <c r="A1" s="17" t="s">
        <v>27</v>
      </c>
    </row>
    <row r="2" customFormat="false" ht="15" hidden="false" customHeight="false" outlineLevel="0" collapsed="false">
      <c r="A2" s="2" t="s">
        <v>28</v>
      </c>
    </row>
    <row r="4" customFormat="false" ht="15" hidden="false" customHeight="false" outlineLevel="0" collapsed="false">
      <c r="A4" s="18" t="s">
        <v>29</v>
      </c>
      <c r="B4" s="4"/>
      <c r="C4" s="4"/>
    </row>
    <row r="5" customFormat="false" ht="102.95" hidden="false" customHeight="false" outlineLevel="0" collapsed="false">
      <c r="A5" s="8" t="s">
        <v>30</v>
      </c>
      <c r="B5" s="19" t="n">
        <v>207939447</v>
      </c>
      <c r="C5" s="20" t="s">
        <v>31</v>
      </c>
    </row>
    <row r="6" customFormat="false" ht="77.6" hidden="false" customHeight="false" outlineLevel="0" collapsed="false">
      <c r="A6" s="8" t="s">
        <v>32</v>
      </c>
      <c r="B6" s="21" t="n">
        <f aca="false">家賃明細!B17</f>
        <v>3800269</v>
      </c>
      <c r="C6" s="22" t="s">
        <v>33</v>
      </c>
    </row>
    <row r="7" customFormat="false" ht="128.35" hidden="false" customHeight="false" outlineLevel="0" collapsed="false">
      <c r="A7" s="23" t="s">
        <v>34</v>
      </c>
      <c r="B7" s="21" t="n">
        <f aca="false">実績!J6-実績!K6</f>
        <v>25333380</v>
      </c>
      <c r="C7" s="22" t="s">
        <v>35</v>
      </c>
    </row>
    <row r="8" customFormat="false" ht="26.85" hidden="false" customHeight="false" outlineLevel="0" collapsed="false">
      <c r="A8" s="23" t="s">
        <v>36</v>
      </c>
      <c r="B8" s="21" t="n">
        <f aca="false">実績!J7</f>
        <v>3120000</v>
      </c>
      <c r="C8" s="22" t="s">
        <v>37</v>
      </c>
    </row>
    <row r="10" customFormat="false" ht="15" hidden="false" customHeight="false" outlineLevel="0" collapsed="false">
      <c r="A10" s="18" t="s">
        <v>38</v>
      </c>
      <c r="B10" s="4"/>
      <c r="C10" s="4"/>
    </row>
    <row r="11" customFormat="false" ht="15" hidden="false" customHeight="false" outlineLevel="0" collapsed="false">
      <c r="A11" s="8" t="s">
        <v>39</v>
      </c>
      <c r="B11" s="19" t="n">
        <v>4249004</v>
      </c>
      <c r="C11" s="24" t="s">
        <v>40</v>
      </c>
    </row>
    <row r="12" customFormat="false" ht="15" hidden="false" customHeight="false" outlineLevel="0" collapsed="false">
      <c r="A12" s="8" t="s">
        <v>41</v>
      </c>
      <c r="B12" s="19" t="n">
        <v>2766120</v>
      </c>
      <c r="C12" s="24" t="s">
        <v>42</v>
      </c>
    </row>
    <row r="13" customFormat="false" ht="15" hidden="false" customHeight="false" outlineLevel="0" collapsed="false">
      <c r="A13" s="8" t="s">
        <v>43</v>
      </c>
      <c r="B13" s="25" t="n">
        <v>2</v>
      </c>
      <c r="C13" s="26" t="s">
        <v>44</v>
      </c>
    </row>
    <row r="14" customFormat="false" ht="15" hidden="false" customHeight="false" outlineLevel="0" collapsed="false">
      <c r="A14" s="8" t="s">
        <v>45</v>
      </c>
      <c r="B14" s="27" t="n">
        <f aca="false">(B11-B12)*B13</f>
        <v>2965768</v>
      </c>
      <c r="C14" s="26" t="s">
        <v>46</v>
      </c>
    </row>
    <row r="16" customFormat="false" ht="15" hidden="false" customHeight="false" outlineLevel="0" collapsed="false">
      <c r="A16" s="18" t="s">
        <v>47</v>
      </c>
      <c r="B16" s="4"/>
      <c r="C16" s="4"/>
    </row>
    <row r="17" customFormat="false" ht="26.85" hidden="false" customHeight="false" outlineLevel="0" collapsed="false">
      <c r="A17" s="8" t="s">
        <v>48</v>
      </c>
      <c r="B17" s="28" t="n">
        <v>250000</v>
      </c>
      <c r="C17" s="22" t="s">
        <v>49</v>
      </c>
    </row>
    <row r="18" customFormat="false" ht="76.1" hidden="false" customHeight="false" outlineLevel="0" collapsed="false">
      <c r="A18" s="8" t="s">
        <v>50</v>
      </c>
      <c r="B18" s="29" t="n">
        <v>158</v>
      </c>
      <c r="C18" s="20" t="s">
        <v>51</v>
      </c>
    </row>
    <row r="19" customFormat="false" ht="52.2" hidden="false" customHeight="false" outlineLevel="0" collapsed="false">
      <c r="A19" s="8" t="s">
        <v>52</v>
      </c>
      <c r="B19" s="29" t="n">
        <v>0.5</v>
      </c>
      <c r="C19" s="22" t="s">
        <v>53</v>
      </c>
    </row>
    <row r="20" customFormat="false" ht="39.55" hidden="false" customHeight="false" outlineLevel="0" collapsed="false">
      <c r="A20" s="8" t="s">
        <v>54</v>
      </c>
      <c r="B20" s="30" t="n">
        <v>46327</v>
      </c>
      <c r="C20" s="22" t="s">
        <v>55</v>
      </c>
    </row>
    <row r="21" customFormat="false" ht="64.9" hidden="false" customHeight="false" outlineLevel="0" collapsed="false">
      <c r="A21" s="8" t="s">
        <v>56</v>
      </c>
      <c r="B21" s="31" t="n">
        <v>0.07</v>
      </c>
      <c r="C21" s="22" t="s">
        <v>57</v>
      </c>
    </row>
    <row r="22" customFormat="false" ht="26.85" hidden="false" customHeight="false" outlineLevel="0" collapsed="false">
      <c r="A22" s="8" t="s">
        <v>58</v>
      </c>
      <c r="B22" s="32" t="n">
        <v>2</v>
      </c>
      <c r="C22" s="20" t="s">
        <v>59</v>
      </c>
    </row>
    <row r="23" customFormat="false" ht="90.25" hidden="false" customHeight="false" outlineLevel="0" collapsed="false">
      <c r="A23" s="8" t="s">
        <v>60</v>
      </c>
      <c r="B23" s="33" t="n">
        <v>0.15315</v>
      </c>
      <c r="C23" s="22" t="s">
        <v>61</v>
      </c>
    </row>
    <row r="24" customFormat="false" ht="15" hidden="false" customHeight="false" outlineLevel="0" collapsed="false">
      <c r="A24" s="8" t="s">
        <v>62</v>
      </c>
      <c r="B24" s="32" t="n">
        <v>36</v>
      </c>
      <c r="C24" s="20" t="s">
        <v>63</v>
      </c>
    </row>
    <row r="25" customFormat="false" ht="52.2" hidden="false" customHeight="false" outlineLevel="0" collapsed="false">
      <c r="A25" s="8" t="s">
        <v>64</v>
      </c>
      <c r="B25" s="34" t="n">
        <f aca="false">B18</f>
        <v>158</v>
      </c>
      <c r="C25" s="22" t="s">
        <v>65</v>
      </c>
    </row>
    <row r="26" customFormat="false" ht="64.9" hidden="false" customHeight="false" outlineLevel="0" collapsed="false">
      <c r="A26" s="8" t="s">
        <v>66</v>
      </c>
      <c r="B26" s="34" t="n">
        <f aca="false">B18</f>
        <v>158</v>
      </c>
      <c r="C26" s="22" t="s">
        <v>67</v>
      </c>
    </row>
    <row r="27" customFormat="false" ht="15" hidden="false" customHeight="false" outlineLevel="0" collapsed="false">
      <c r="A27" s="8" t="s">
        <v>68</v>
      </c>
      <c r="B27" s="35" t="n">
        <f aca="false">B17*(B18+B19)</f>
        <v>39625000</v>
      </c>
    </row>
    <row r="29" customFormat="false" ht="15" hidden="false" customHeight="false" outlineLevel="0" collapsed="false">
      <c r="A29" s="18" t="s">
        <v>69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customFormat="false" ht="15" hidden="false" customHeight="false" outlineLevel="0" collapsed="false">
      <c r="A30" s="36" t="s">
        <v>70</v>
      </c>
    </row>
    <row r="31" customFormat="false" ht="15" hidden="false" customHeight="false" outlineLevel="0" collapsed="false">
      <c r="A31" s="37" t="s">
        <v>71</v>
      </c>
      <c r="B31" s="6"/>
      <c r="C31" s="38" t="s">
        <v>72</v>
      </c>
      <c r="D31" s="38" t="s">
        <v>73</v>
      </c>
      <c r="E31" s="38" t="s">
        <v>74</v>
      </c>
      <c r="F31" s="38" t="s">
        <v>75</v>
      </c>
      <c r="G31" s="38" t="s">
        <v>76</v>
      </c>
      <c r="H31" s="38" t="s">
        <v>77</v>
      </c>
      <c r="I31" s="38" t="s">
        <v>78</v>
      </c>
      <c r="J31" s="38" t="s">
        <v>79</v>
      </c>
      <c r="K31" s="38" t="s">
        <v>80</v>
      </c>
      <c r="L31" s="38" t="s">
        <v>81</v>
      </c>
      <c r="M31" s="38" t="s">
        <v>82</v>
      </c>
      <c r="N31" s="38" t="s">
        <v>83</v>
      </c>
      <c r="O31" s="37" t="s">
        <v>84</v>
      </c>
      <c r="P31" s="39" t="s">
        <v>85</v>
      </c>
    </row>
    <row r="32" customFormat="false" ht="15" hidden="false" customHeight="false" outlineLevel="0" collapsed="false">
      <c r="A32" s="8" t="s">
        <v>86</v>
      </c>
      <c r="C32" s="21" t="n">
        <f aca="false">実績!J9</f>
        <v>6300000</v>
      </c>
      <c r="D32" s="21" t="n">
        <f aca="false">実績!K9</f>
        <v>900000</v>
      </c>
      <c r="E32" s="21" t="n">
        <f aca="false">実績!L9</f>
        <v>900000</v>
      </c>
      <c r="F32" s="21" t="n">
        <f aca="false">実績!M9</f>
        <v>900000</v>
      </c>
      <c r="G32" s="21" t="n">
        <f aca="false">実績!N9</f>
        <v>900000</v>
      </c>
      <c r="H32" s="21" t="n">
        <f aca="false">実績!O9</f>
        <v>2400000</v>
      </c>
      <c r="I32" s="27" t="n">
        <f aca="false">$P32</f>
        <v>900000</v>
      </c>
      <c r="J32" s="27" t="n">
        <f aca="false">$P32</f>
        <v>900000</v>
      </c>
      <c r="K32" s="27" t="n">
        <f aca="false">$P32</f>
        <v>900000</v>
      </c>
      <c r="L32" s="27" t="n">
        <f aca="false">$P32</f>
        <v>900000</v>
      </c>
      <c r="M32" s="27" t="n">
        <f aca="false">$P32</f>
        <v>900000</v>
      </c>
      <c r="N32" s="27" t="n">
        <f aca="false">$P32</f>
        <v>900000</v>
      </c>
      <c r="O32" s="35" t="n">
        <f aca="false">SUM(C32:N32)</f>
        <v>17700000</v>
      </c>
      <c r="P32" s="27" t="n">
        <f aca="false">MEDIAN(D32:H32)</f>
        <v>900000</v>
      </c>
    </row>
    <row r="33" customFormat="false" ht="15" hidden="false" customHeight="false" outlineLevel="0" collapsed="false">
      <c r="A33" s="8" t="s">
        <v>87</v>
      </c>
      <c r="C33" s="21" t="n">
        <f aca="false">実績!J10+実績!J11+実績!J12+実績!J13</f>
        <v>8133516</v>
      </c>
      <c r="D33" s="21" t="n">
        <f aca="false">実績!K10+実績!K11+実績!K12+実績!K13</f>
        <v>672558</v>
      </c>
      <c r="E33" s="21" t="n">
        <f aca="false">実績!L10+実績!L11+実績!L12+実績!L13</f>
        <v>1106054</v>
      </c>
      <c r="F33" s="21" t="n">
        <f aca="false">実績!M10+実績!M11+実績!M12+実績!M13</f>
        <v>1378300</v>
      </c>
      <c r="G33" s="21" t="n">
        <f aca="false">実績!N10+実績!N11+実績!N12+実績!N13</f>
        <v>890878</v>
      </c>
      <c r="H33" s="21" t="n">
        <f aca="false">実績!O10+実績!O11+実績!O12+実績!O13</f>
        <v>1207652</v>
      </c>
      <c r="I33" s="27" t="n">
        <f aca="false">$P33</f>
        <v>1106054</v>
      </c>
      <c r="J33" s="27" t="n">
        <f aca="false">$P33</f>
        <v>1106054</v>
      </c>
      <c r="K33" s="27" t="n">
        <f aca="false">$P33</f>
        <v>1106054</v>
      </c>
      <c r="L33" s="27" t="n">
        <f aca="false">$P33</f>
        <v>1106054</v>
      </c>
      <c r="M33" s="27" t="n">
        <f aca="false">$P33</f>
        <v>1106054</v>
      </c>
      <c r="N33" s="27" t="n">
        <f aca="false">$P33</f>
        <v>1106054</v>
      </c>
      <c r="O33" s="35" t="n">
        <f aca="false">SUM(C33:N33)</f>
        <v>20025282</v>
      </c>
      <c r="P33" s="27" t="n">
        <f aca="false">MEDIAN(D33:H33)</f>
        <v>1106054</v>
      </c>
    </row>
    <row r="34" customFormat="false" ht="15" hidden="false" customHeight="false" outlineLevel="0" collapsed="false">
      <c r="A34" s="8" t="s">
        <v>88</v>
      </c>
      <c r="C34" s="21" t="n">
        <f aca="false">実績!J14</f>
        <v>6100386</v>
      </c>
      <c r="D34" s="21" t="n">
        <f aca="false">実績!K14</f>
        <v>868788</v>
      </c>
      <c r="E34" s="21" t="n">
        <f aca="false">実績!L14</f>
        <v>9169071</v>
      </c>
      <c r="F34" s="21" t="n">
        <f aca="false">実績!M14</f>
        <v>2591448</v>
      </c>
      <c r="G34" s="21" t="n">
        <f aca="false">実績!N14</f>
        <v>1350056</v>
      </c>
      <c r="H34" s="21" t="n">
        <f aca="false">実績!O14</f>
        <v>4537846</v>
      </c>
      <c r="I34" s="27" t="n">
        <f aca="false">$P34</f>
        <v>2591448</v>
      </c>
      <c r="J34" s="27" t="n">
        <f aca="false">$P34</f>
        <v>2591448</v>
      </c>
      <c r="K34" s="27" t="n">
        <f aca="false">$P34</f>
        <v>2591448</v>
      </c>
      <c r="L34" s="27" t="n">
        <f aca="false">$P34</f>
        <v>2591448</v>
      </c>
      <c r="M34" s="27" t="n">
        <f aca="false">$P34</f>
        <v>2591448</v>
      </c>
      <c r="N34" s="27" t="n">
        <f aca="false">$P34</f>
        <v>2591448</v>
      </c>
      <c r="O34" s="35" t="n">
        <f aca="false">SUM(C34:N34)</f>
        <v>40166283</v>
      </c>
      <c r="P34" s="27" t="n">
        <f aca="false">MEDIAN(D34:H34)</f>
        <v>2591448</v>
      </c>
    </row>
    <row r="35" customFormat="false" ht="15" hidden="false" customHeight="false" outlineLevel="0" collapsed="false">
      <c r="A35" s="8" t="s">
        <v>89</v>
      </c>
      <c r="C35" s="21" t="n">
        <f aca="false">実績!J15</f>
        <v>5496995</v>
      </c>
      <c r="D35" s="21" t="n">
        <f aca="false">実績!K15</f>
        <v>1719800</v>
      </c>
      <c r="E35" s="21" t="n">
        <f aca="false">実績!L15</f>
        <v>35500</v>
      </c>
      <c r="F35" s="21" t="n">
        <f aca="false">実績!M15</f>
        <v>15705</v>
      </c>
      <c r="G35" s="21" t="n">
        <f aca="false">実績!N15</f>
        <v>22952</v>
      </c>
      <c r="H35" s="21" t="n">
        <f aca="false">実績!O15</f>
        <v>600</v>
      </c>
      <c r="I35" s="27" t="n">
        <f aca="false">$P35</f>
        <v>22952</v>
      </c>
      <c r="J35" s="27" t="n">
        <f aca="false">$P35</f>
        <v>22952</v>
      </c>
      <c r="K35" s="27" t="n">
        <f aca="false">$P35</f>
        <v>22952</v>
      </c>
      <c r="L35" s="27" t="n">
        <f aca="false">$P35</f>
        <v>22952</v>
      </c>
      <c r="M35" s="27" t="n">
        <f aca="false">$P35</f>
        <v>22952</v>
      </c>
      <c r="N35" s="27" t="n">
        <f aca="false">$P35</f>
        <v>22952</v>
      </c>
      <c r="O35" s="35" t="n">
        <f aca="false">SUM(C35:N35)</f>
        <v>7429264</v>
      </c>
      <c r="P35" s="27" t="n">
        <f aca="false">MEDIAN(D35:H35)</f>
        <v>22952</v>
      </c>
    </row>
    <row r="36" customFormat="false" ht="15" hidden="false" customHeight="false" outlineLevel="0" collapsed="false">
      <c r="A36" s="8" t="s">
        <v>90</v>
      </c>
      <c r="C36" s="21" t="n">
        <f aca="false">実績!J16+実績!J17</f>
        <v>3239627</v>
      </c>
      <c r="D36" s="21" t="n">
        <f aca="false">実績!K16+実績!K17</f>
        <v>424654</v>
      </c>
      <c r="E36" s="21" t="n">
        <f aca="false">実績!L16+実績!L17</f>
        <v>507425</v>
      </c>
      <c r="F36" s="21" t="n">
        <f aca="false">実績!M16+実績!M17</f>
        <v>515232</v>
      </c>
      <c r="G36" s="21" t="n">
        <f aca="false">実績!N16+実績!N17</f>
        <v>649918</v>
      </c>
      <c r="H36" s="21" t="n">
        <f aca="false">実績!O16+実績!O17</f>
        <v>518550</v>
      </c>
      <c r="I36" s="27" t="n">
        <f aca="false">$P36</f>
        <v>515232</v>
      </c>
      <c r="J36" s="27" t="n">
        <f aca="false">$P36</f>
        <v>515232</v>
      </c>
      <c r="K36" s="27" t="n">
        <f aca="false">$P36</f>
        <v>515232</v>
      </c>
      <c r="L36" s="27" t="n">
        <f aca="false">$P36</f>
        <v>515232</v>
      </c>
      <c r="M36" s="27" t="n">
        <f aca="false">$P36</f>
        <v>515232</v>
      </c>
      <c r="N36" s="27" t="n">
        <f aca="false">$P36</f>
        <v>515232</v>
      </c>
      <c r="O36" s="35" t="n">
        <f aca="false">SUM(C36:N36)</f>
        <v>8946798</v>
      </c>
      <c r="P36" s="27" t="n">
        <f aca="false">MEDIAN(D36:H36)</f>
        <v>515232</v>
      </c>
    </row>
    <row r="37" customFormat="false" ht="15" hidden="false" customHeight="false" outlineLevel="0" collapsed="false">
      <c r="A37" s="8" t="s">
        <v>91</v>
      </c>
      <c r="C37" s="21" t="n">
        <f aca="false">実績!J18+実績!J19</f>
        <v>7770390</v>
      </c>
      <c r="D37" s="21" t="n">
        <f aca="false">実績!K18+実績!K19</f>
        <v>935455</v>
      </c>
      <c r="E37" s="21" t="n">
        <f aca="false">実績!L18+実績!L19</f>
        <v>831674</v>
      </c>
      <c r="F37" s="21" t="n">
        <f aca="false">実績!M18+実績!M19</f>
        <v>753886</v>
      </c>
      <c r="G37" s="21" t="n">
        <f aca="false">実績!N18+実績!N19</f>
        <v>413189</v>
      </c>
      <c r="H37" s="21" t="n">
        <f aca="false">実績!O18+実績!O19</f>
        <v>247264</v>
      </c>
      <c r="I37" s="27" t="n">
        <f aca="false">$P37</f>
        <v>753886</v>
      </c>
      <c r="J37" s="27" t="n">
        <f aca="false">$P37</f>
        <v>753886</v>
      </c>
      <c r="K37" s="27" t="n">
        <f aca="false">$P37</f>
        <v>753886</v>
      </c>
      <c r="L37" s="27" t="n">
        <f aca="false">$P37</f>
        <v>753886</v>
      </c>
      <c r="M37" s="27" t="n">
        <f aca="false">$P37</f>
        <v>753886</v>
      </c>
      <c r="N37" s="27" t="n">
        <f aca="false">$P37</f>
        <v>753886</v>
      </c>
      <c r="O37" s="35" t="n">
        <f aca="false">SUM(C37:N37)</f>
        <v>15475174</v>
      </c>
      <c r="P37" s="27" t="n">
        <f aca="false">MEDIAN(D37:H37)</f>
        <v>753886</v>
      </c>
    </row>
    <row r="38" customFormat="false" ht="15" hidden="false" customHeight="false" outlineLevel="0" collapsed="false">
      <c r="A38" s="8" t="s">
        <v>92</v>
      </c>
      <c r="C38" s="21" t="n">
        <f aca="false">実績!J20+実績!J21+実績!J22</f>
        <v>707887</v>
      </c>
      <c r="D38" s="21" t="n">
        <f aca="false">実績!K20+実績!K21+実績!K22</f>
        <v>28725</v>
      </c>
      <c r="E38" s="21" t="n">
        <f aca="false">実績!L20+実績!L21+実績!L22</f>
        <v>25723</v>
      </c>
      <c r="F38" s="21" t="n">
        <f aca="false">実績!M20+実績!M21+実績!M22</f>
        <v>91475</v>
      </c>
      <c r="G38" s="21" t="n">
        <f aca="false">実績!N20+実績!N21+実績!N22</f>
        <v>151279</v>
      </c>
      <c r="H38" s="21" t="n">
        <f aca="false">実績!O20+実績!O21+実績!O22</f>
        <v>255843</v>
      </c>
      <c r="I38" s="27" t="n">
        <f aca="false">$P38</f>
        <v>91475</v>
      </c>
      <c r="J38" s="27" t="n">
        <f aca="false">$P38</f>
        <v>91475</v>
      </c>
      <c r="K38" s="27" t="n">
        <f aca="false">$P38</f>
        <v>91475</v>
      </c>
      <c r="L38" s="27" t="n">
        <f aca="false">$P38</f>
        <v>91475</v>
      </c>
      <c r="M38" s="27" t="n">
        <f aca="false">$P38</f>
        <v>91475</v>
      </c>
      <c r="N38" s="27" t="n">
        <f aca="false">$P38</f>
        <v>91475</v>
      </c>
      <c r="O38" s="35" t="n">
        <f aca="false">SUM(C38:N38)</f>
        <v>1809782</v>
      </c>
      <c r="P38" s="27" t="n">
        <f aca="false">MEDIAN(D38:H38)</f>
        <v>91475</v>
      </c>
    </row>
    <row r="39" customFormat="false" ht="15" hidden="false" customHeight="false" outlineLevel="0" collapsed="false">
      <c r="A39" s="8" t="s">
        <v>93</v>
      </c>
      <c r="C39" s="21" t="n">
        <f aca="false">実績!J23+実績!J24+実績!J25+実績!J26+実績!J27</f>
        <v>1979117</v>
      </c>
      <c r="D39" s="21" t="n">
        <f aca="false">実績!K23+実績!K24+実績!K25+実績!K26+実績!K27</f>
        <v>249595</v>
      </c>
      <c r="E39" s="21" t="n">
        <f aca="false">実績!L23+実績!L24+実績!L25+実績!L26+実績!L27</f>
        <v>255950</v>
      </c>
      <c r="F39" s="21" t="n">
        <f aca="false">実績!M23+実績!M24+実績!M25+実績!M26+実績!M27</f>
        <v>204095</v>
      </c>
      <c r="G39" s="21" t="n">
        <f aca="false">実績!N23+実績!N24+実績!N25+実績!N26+実績!N27</f>
        <v>228050</v>
      </c>
      <c r="H39" s="21" t="n">
        <f aca="false">実績!O23+実績!O24+実績!O25+実績!O26+実績!O27</f>
        <v>195150</v>
      </c>
      <c r="I39" s="27" t="n">
        <f aca="false">$P39</f>
        <v>228050</v>
      </c>
      <c r="J39" s="27" t="n">
        <f aca="false">$P39</f>
        <v>228050</v>
      </c>
      <c r="K39" s="27" t="n">
        <f aca="false">$P39</f>
        <v>228050</v>
      </c>
      <c r="L39" s="27" t="n">
        <f aca="false">$P39</f>
        <v>228050</v>
      </c>
      <c r="M39" s="27" t="n">
        <f aca="false">$P39</f>
        <v>228050</v>
      </c>
      <c r="N39" s="27" t="n">
        <f aca="false">$P39</f>
        <v>228050</v>
      </c>
      <c r="O39" s="35" t="n">
        <f aca="false">SUM(C39:N39)</f>
        <v>4480257</v>
      </c>
      <c r="P39" s="27" t="n">
        <f aca="false">MEDIAN(D39:H39)</f>
        <v>228050</v>
      </c>
    </row>
    <row r="40" customFormat="false" ht="15" hidden="false" customHeight="false" outlineLevel="0" collapsed="false">
      <c r="A40" s="40" t="s">
        <v>94</v>
      </c>
      <c r="C40" s="41" t="n">
        <f aca="false">SUM(C32:C39)</f>
        <v>39727918</v>
      </c>
      <c r="D40" s="41" t="n">
        <f aca="false">SUM(D32:D39)</f>
        <v>5799575</v>
      </c>
      <c r="E40" s="41" t="n">
        <f aca="false">SUM(E32:E39)</f>
        <v>12831397</v>
      </c>
      <c r="F40" s="41" t="n">
        <f aca="false">SUM(F32:F39)</f>
        <v>6450141</v>
      </c>
      <c r="G40" s="41" t="n">
        <f aca="false">SUM(G32:G39)</f>
        <v>4606322</v>
      </c>
      <c r="H40" s="41" t="n">
        <f aca="false">SUM(H32:H39)</f>
        <v>9362905</v>
      </c>
      <c r="I40" s="41" t="n">
        <f aca="false">SUM(I32:I39)</f>
        <v>6209097</v>
      </c>
      <c r="J40" s="41" t="n">
        <f aca="false">SUM(J32:J39)</f>
        <v>6209097</v>
      </c>
      <c r="K40" s="41" t="n">
        <f aca="false">SUM(K32:K39)</f>
        <v>6209097</v>
      </c>
      <c r="L40" s="41" t="n">
        <f aca="false">SUM(L32:L39)</f>
        <v>6209097</v>
      </c>
      <c r="M40" s="41" t="n">
        <f aca="false">SUM(M32:M39)</f>
        <v>6209097</v>
      </c>
      <c r="N40" s="41" t="n">
        <f aca="false">SUM(N32:N39)</f>
        <v>6209097</v>
      </c>
      <c r="O40" s="41" t="n">
        <f aca="false">SUM(O32:O39)</f>
        <v>116032840</v>
      </c>
      <c r="P40" s="41" t="n">
        <f aca="false">SUM(P32:P39)</f>
        <v>6209097</v>
      </c>
    </row>
    <row r="42" customFormat="false" ht="15" hidden="false" customHeight="false" outlineLevel="0" collapsed="false">
      <c r="A42" s="2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8" min="3" style="0" width="10.51"/>
    <col collapsed="false" customWidth="true" hidden="false" outlineLevel="0" max="9" min="9" style="0" width="13"/>
    <col collapsed="false" customWidth="true" hidden="false" outlineLevel="0" max="21" min="10" style="0" width="10.51"/>
    <col collapsed="false" customWidth="true" hidden="false" outlineLevel="0" max="22" min="22" style="0" width="13"/>
  </cols>
  <sheetData>
    <row r="1" customFormat="false" ht="17.15" hidden="false" customHeight="false" outlineLevel="0" collapsed="false">
      <c r="A1" s="17" t="s">
        <v>96</v>
      </c>
    </row>
    <row r="2" customFormat="false" ht="15" hidden="false" customHeight="false" outlineLevel="0" collapsed="false">
      <c r="A2" s="2" t="s">
        <v>97</v>
      </c>
    </row>
    <row r="4" customFormat="false" ht="30" hidden="false" customHeight="true" outlineLevel="0" collapsed="false">
      <c r="A4" s="37" t="s">
        <v>7</v>
      </c>
      <c r="B4" s="6"/>
      <c r="C4" s="42" t="n">
        <v>46296</v>
      </c>
      <c r="D4" s="43" t="n">
        <f aca="false">EDATE(C4,1)</f>
        <v>46327</v>
      </c>
      <c r="E4" s="43" t="n">
        <f aca="false">EDATE(D4,1)</f>
        <v>46357</v>
      </c>
      <c r="F4" s="43" t="n">
        <f aca="false">EDATE(E4,1)</f>
        <v>46388</v>
      </c>
      <c r="G4" s="43" t="n">
        <f aca="false">EDATE(F4,1)</f>
        <v>46419</v>
      </c>
      <c r="H4" s="43" t="n">
        <f aca="false">EDATE(G4,1)</f>
        <v>46447</v>
      </c>
      <c r="I4" s="44" t="s">
        <v>98</v>
      </c>
      <c r="J4" s="43" t="n">
        <f aca="false">EDATE(H4,1)</f>
        <v>46478</v>
      </c>
      <c r="K4" s="43" t="n">
        <f aca="false">EDATE(J4,1)</f>
        <v>46508</v>
      </c>
      <c r="L4" s="43" t="n">
        <f aca="false">EDATE(K4,1)</f>
        <v>46539</v>
      </c>
      <c r="M4" s="43" t="n">
        <f aca="false">EDATE(L4,1)</f>
        <v>46569</v>
      </c>
      <c r="N4" s="43" t="n">
        <f aca="false">EDATE(M4,1)</f>
        <v>46600</v>
      </c>
      <c r="O4" s="43" t="n">
        <f aca="false">EDATE(N4,1)</f>
        <v>46631</v>
      </c>
      <c r="P4" s="43" t="n">
        <f aca="false">EDATE(O4,1)</f>
        <v>46661</v>
      </c>
      <c r="Q4" s="43" t="n">
        <f aca="false">EDATE(P4,1)</f>
        <v>46692</v>
      </c>
      <c r="R4" s="43" t="n">
        <f aca="false">EDATE(Q4,1)</f>
        <v>46722</v>
      </c>
      <c r="S4" s="43" t="n">
        <f aca="false">EDATE(R4,1)</f>
        <v>46753</v>
      </c>
      <c r="T4" s="43" t="n">
        <f aca="false">EDATE(S4,1)</f>
        <v>46784</v>
      </c>
      <c r="U4" s="43" t="n">
        <f aca="false">EDATE(T4,1)</f>
        <v>46813</v>
      </c>
      <c r="V4" s="44" t="s">
        <v>99</v>
      </c>
    </row>
    <row r="5" customFormat="false" ht="15" hidden="false" customHeight="false" outlineLevel="0" collapsed="false">
      <c r="A5" s="8" t="s">
        <v>100</v>
      </c>
      <c r="C5" s="45" t="str">
        <f aca="false">"令和"&amp;(YEAR(C4)-IF(MONTH(C4)&lt;4,1,0)-2018)&amp;"年度"</f>
        <v>令和8年度</v>
      </c>
      <c r="D5" s="45" t="str">
        <f aca="false">"令和"&amp;(YEAR(D4)-IF(MONTH(D4)&lt;4,1,0)-2018)&amp;"年度"</f>
        <v>令和8年度</v>
      </c>
      <c r="E5" s="45" t="str">
        <f aca="false">"令和"&amp;(YEAR(E4)-IF(MONTH(E4)&lt;4,1,0)-2018)&amp;"年度"</f>
        <v>令和8年度</v>
      </c>
      <c r="F5" s="45" t="str">
        <f aca="false">"令和"&amp;(YEAR(F4)-IF(MONTH(F4)&lt;4,1,0)-2018)&amp;"年度"</f>
        <v>令和8年度</v>
      </c>
      <c r="G5" s="45" t="str">
        <f aca="false">"令和"&amp;(YEAR(G4)-IF(MONTH(G4)&lt;4,1,0)-2018)&amp;"年度"</f>
        <v>令和8年度</v>
      </c>
      <c r="H5" s="45" t="str">
        <f aca="false">"令和"&amp;(YEAR(H4)-IF(MONTH(H4)&lt;4,1,0)-2018)&amp;"年度"</f>
        <v>令和8年度</v>
      </c>
      <c r="J5" s="45" t="str">
        <f aca="false">"令和"&amp;(YEAR(J4)-IF(MONTH(J4)&lt;4,1,0)-2018)&amp;"年度"</f>
        <v>令和9年度</v>
      </c>
      <c r="K5" s="45" t="str">
        <f aca="false">"令和"&amp;(YEAR(K4)-IF(MONTH(K4)&lt;4,1,0)-2018)&amp;"年度"</f>
        <v>令和9年度</v>
      </c>
      <c r="L5" s="45" t="str">
        <f aca="false">"令和"&amp;(YEAR(L4)-IF(MONTH(L4)&lt;4,1,0)-2018)&amp;"年度"</f>
        <v>令和9年度</v>
      </c>
      <c r="M5" s="45" t="str">
        <f aca="false">"令和"&amp;(YEAR(M4)-IF(MONTH(M4)&lt;4,1,0)-2018)&amp;"年度"</f>
        <v>令和9年度</v>
      </c>
      <c r="N5" s="45" t="str">
        <f aca="false">"令和"&amp;(YEAR(N4)-IF(MONTH(N4)&lt;4,1,0)-2018)&amp;"年度"</f>
        <v>令和9年度</v>
      </c>
      <c r="O5" s="45" t="str">
        <f aca="false">"令和"&amp;(YEAR(O4)-IF(MONTH(O4)&lt;4,1,0)-2018)&amp;"年度"</f>
        <v>令和9年度</v>
      </c>
      <c r="P5" s="45" t="str">
        <f aca="false">"令和"&amp;(YEAR(P4)-IF(MONTH(P4)&lt;4,1,0)-2018)&amp;"年度"</f>
        <v>令和9年度</v>
      </c>
      <c r="Q5" s="45" t="str">
        <f aca="false">"令和"&amp;(YEAR(Q4)-IF(MONTH(Q4)&lt;4,1,0)-2018)&amp;"年度"</f>
        <v>令和9年度</v>
      </c>
      <c r="R5" s="45" t="str">
        <f aca="false">"令和"&amp;(YEAR(R4)-IF(MONTH(R4)&lt;4,1,0)-2018)&amp;"年度"</f>
        <v>令和9年度</v>
      </c>
      <c r="S5" s="45" t="str">
        <f aca="false">"令和"&amp;(YEAR(S4)-IF(MONTH(S4)&lt;4,1,0)-2018)&amp;"年度"</f>
        <v>令和9年度</v>
      </c>
      <c r="T5" s="45" t="str">
        <f aca="false">"令和"&amp;(YEAR(T4)-IF(MONTH(T4)&lt;4,1,0)-2018)&amp;"年度"</f>
        <v>令和9年度</v>
      </c>
      <c r="U5" s="45" t="str">
        <f aca="false">"令和"&amp;(YEAR(U4)-IF(MONTH(U4)&lt;4,1,0)-2018)&amp;"年度"</f>
        <v>令和9年度</v>
      </c>
    </row>
    <row r="6" customFormat="false" ht="15" hidden="false" customHeight="false" outlineLevel="0" collapsed="false">
      <c r="A6" s="5" t="s">
        <v>101</v>
      </c>
      <c r="C6" s="9" t="n">
        <f aca="false">前提!B5</f>
        <v>207939447</v>
      </c>
      <c r="D6" s="10" t="n">
        <f aca="false">C29</f>
        <v>205530619</v>
      </c>
      <c r="E6" s="10" t="n">
        <f aca="false">D29</f>
        <v>203121791</v>
      </c>
      <c r="F6" s="10" t="n">
        <f aca="false">E29</f>
        <v>200712963</v>
      </c>
      <c r="G6" s="10" t="n">
        <f aca="false">F29</f>
        <v>198304135</v>
      </c>
      <c r="H6" s="10" t="n">
        <f aca="false">G29</f>
        <v>195895307</v>
      </c>
      <c r="I6" s="46" t="n">
        <f aca="false">C6</f>
        <v>207939447</v>
      </c>
      <c r="J6" s="10" t="n">
        <f aca="false">H29</f>
        <v>193486479</v>
      </c>
      <c r="K6" s="10" t="n">
        <f aca="false">J29</f>
        <v>186012210</v>
      </c>
      <c r="L6" s="10" t="n">
        <f aca="false">K29</f>
        <v>181047136</v>
      </c>
      <c r="M6" s="10" t="n">
        <f aca="false">L29</f>
        <v>172016008</v>
      </c>
      <c r="N6" s="10" t="n">
        <f aca="false">M29</f>
        <v>169366136</v>
      </c>
      <c r="O6" s="10" t="n">
        <f aca="false">N29</f>
        <v>168560083</v>
      </c>
      <c r="P6" s="10" t="n">
        <f aca="false">O29</f>
        <v>162997447</v>
      </c>
      <c r="Q6" s="10" t="n">
        <f aca="false">P29</f>
        <v>160588619</v>
      </c>
      <c r="R6" s="10" t="n">
        <f aca="false">Q29</f>
        <v>158179791</v>
      </c>
      <c r="S6" s="10" t="n">
        <f aca="false">R29</f>
        <v>155770963</v>
      </c>
      <c r="T6" s="10" t="n">
        <f aca="false">S29</f>
        <v>153362135</v>
      </c>
      <c r="U6" s="10" t="n">
        <f aca="false">T29</f>
        <v>150953307</v>
      </c>
      <c r="V6" s="46" t="n">
        <f aca="false">J6</f>
        <v>193486479</v>
      </c>
    </row>
    <row r="7" customFormat="false" ht="15" hidden="false" customHeight="false" outlineLevel="0" collapsed="false">
      <c r="A7" s="3" t="s">
        <v>102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customFormat="false" ht="15" hidden="false" customHeight="false" outlineLevel="0" collapsed="false">
      <c r="A8" s="8" t="s">
        <v>103</v>
      </c>
      <c r="C8" s="9" t="n">
        <f aca="false">前提!$B$6+IF(MONTH(C$4)=4,前提!$B$7,0)</f>
        <v>3800269</v>
      </c>
      <c r="D8" s="9" t="n">
        <f aca="false">前提!$B$6+IF(MONTH(D$4)=4,前提!$B$7,0)</f>
        <v>3800269</v>
      </c>
      <c r="E8" s="9" t="n">
        <f aca="false">前提!$B$6+IF(MONTH(E$4)=4,前提!$B$7,0)</f>
        <v>3800269</v>
      </c>
      <c r="F8" s="9" t="n">
        <f aca="false">前提!$B$6+IF(MONTH(F$4)=4,前提!$B$7,0)</f>
        <v>3800269</v>
      </c>
      <c r="G8" s="9" t="n">
        <f aca="false">前提!$B$6+IF(MONTH(G$4)=4,前提!$B$7,0)</f>
        <v>3800269</v>
      </c>
      <c r="H8" s="9" t="n">
        <f aca="false">前提!$B$6+IF(MONTH(H$4)=4,前提!$B$7,0)</f>
        <v>3800269</v>
      </c>
      <c r="I8" s="46" t="n">
        <f aca="false">SUM(C8:H8)</f>
        <v>22801614</v>
      </c>
      <c r="J8" s="9" t="n">
        <f aca="false">前提!$B$6+IF(MONTH(J$4)=4,前提!$B$7,0)</f>
        <v>29133649</v>
      </c>
      <c r="K8" s="9" t="n">
        <f aca="false">前提!$B$6+IF(MONTH(K$4)=4,前提!$B$7,0)</f>
        <v>3800269</v>
      </c>
      <c r="L8" s="9" t="n">
        <f aca="false">前提!$B$6+IF(MONTH(L$4)=4,前提!$B$7,0)</f>
        <v>3800269</v>
      </c>
      <c r="M8" s="9" t="n">
        <f aca="false">前提!$B$6+IF(MONTH(M$4)=4,前提!$B$7,0)</f>
        <v>3800269</v>
      </c>
      <c r="N8" s="9" t="n">
        <f aca="false">前提!$B$6+IF(MONTH(N$4)=4,前提!$B$7,0)</f>
        <v>3800269</v>
      </c>
      <c r="O8" s="9" t="n">
        <f aca="false">前提!$B$6+IF(MONTH(O$4)=4,前提!$B$7,0)</f>
        <v>3800269</v>
      </c>
      <c r="P8" s="9" t="n">
        <f aca="false">前提!$B$6+IF(MONTH(P$4)=4,前提!$B$7,0)</f>
        <v>3800269</v>
      </c>
      <c r="Q8" s="9" t="n">
        <f aca="false">前提!$B$6+IF(MONTH(Q$4)=4,前提!$B$7,0)</f>
        <v>3800269</v>
      </c>
      <c r="R8" s="9" t="n">
        <f aca="false">前提!$B$6+IF(MONTH(R$4)=4,前提!$B$7,0)</f>
        <v>3800269</v>
      </c>
      <c r="S8" s="9" t="n">
        <f aca="false">前提!$B$6+IF(MONTH(S$4)=4,前提!$B$7,0)</f>
        <v>3800269</v>
      </c>
      <c r="T8" s="9" t="n">
        <f aca="false">前提!$B$6+IF(MONTH(T$4)=4,前提!$B$7,0)</f>
        <v>3800269</v>
      </c>
      <c r="U8" s="9" t="n">
        <f aca="false">前提!$B$6+IF(MONTH(U$4)=4,前提!$B$7,0)</f>
        <v>3800269</v>
      </c>
      <c r="V8" s="46" t="n">
        <f aca="false">SUM(J8:U8)</f>
        <v>70936608</v>
      </c>
    </row>
    <row r="9" customFormat="false" ht="15" hidden="false" customHeight="false" outlineLevel="0" collapsed="false">
      <c r="A9" s="8" t="s">
        <v>104</v>
      </c>
      <c r="C9" s="9" t="n">
        <f aca="false">IF(MONTH(C$4)=4,前提!$B$8,0)</f>
        <v>0</v>
      </c>
      <c r="D9" s="9" t="n">
        <f aca="false">IF(MONTH(D$4)=4,前提!$B$8,0)</f>
        <v>0</v>
      </c>
      <c r="E9" s="9" t="n">
        <f aca="false">IF(MONTH(E$4)=4,前提!$B$8,0)</f>
        <v>0</v>
      </c>
      <c r="F9" s="9" t="n">
        <f aca="false">IF(MONTH(F$4)=4,前提!$B$8,0)</f>
        <v>0</v>
      </c>
      <c r="G9" s="9" t="n">
        <f aca="false">IF(MONTH(G$4)=4,前提!$B$8,0)</f>
        <v>0</v>
      </c>
      <c r="H9" s="9" t="n">
        <f aca="false">IF(MONTH(H$4)=4,前提!$B$8,0)</f>
        <v>0</v>
      </c>
      <c r="I9" s="46" t="n">
        <f aca="false">SUM(C9:H9)</f>
        <v>0</v>
      </c>
      <c r="J9" s="9" t="n">
        <f aca="false">IF(MONTH(J$4)=4,前提!$B$8,0)</f>
        <v>3120000</v>
      </c>
      <c r="K9" s="9" t="n">
        <f aca="false">IF(MONTH(K$4)=4,前提!$B$8,0)</f>
        <v>0</v>
      </c>
      <c r="L9" s="9" t="n">
        <f aca="false">IF(MONTH(L$4)=4,前提!$B$8,0)</f>
        <v>0</v>
      </c>
      <c r="M9" s="9" t="n">
        <f aca="false">IF(MONTH(M$4)=4,前提!$B$8,0)</f>
        <v>0</v>
      </c>
      <c r="N9" s="9" t="n">
        <f aca="false">IF(MONTH(N$4)=4,前提!$B$8,0)</f>
        <v>0</v>
      </c>
      <c r="O9" s="9" t="n">
        <f aca="false">IF(MONTH(O$4)=4,前提!$B$8,0)</f>
        <v>0</v>
      </c>
      <c r="P9" s="9" t="n">
        <f aca="false">IF(MONTH(P$4)=4,前提!$B$8,0)</f>
        <v>0</v>
      </c>
      <c r="Q9" s="9" t="n">
        <f aca="false">IF(MONTH(Q$4)=4,前提!$B$8,0)</f>
        <v>0</v>
      </c>
      <c r="R9" s="9" t="n">
        <f aca="false">IF(MONTH(R$4)=4,前提!$B$8,0)</f>
        <v>0</v>
      </c>
      <c r="S9" s="9" t="n">
        <f aca="false">IF(MONTH(S$4)=4,前提!$B$8,0)</f>
        <v>0</v>
      </c>
      <c r="T9" s="9" t="n">
        <f aca="false">IF(MONTH(T$4)=4,前提!$B$8,0)</f>
        <v>0</v>
      </c>
      <c r="U9" s="9" t="n">
        <f aca="false">IF(MONTH(U$4)=4,前提!$B$8,0)</f>
        <v>0</v>
      </c>
      <c r="V9" s="46" t="n">
        <f aca="false">SUM(J9:U9)</f>
        <v>3120000</v>
      </c>
    </row>
    <row r="10" customFormat="false" ht="15" hidden="false" customHeight="false" outlineLevel="0" collapsed="false">
      <c r="A10" s="8" t="s">
        <v>105</v>
      </c>
      <c r="C10" s="47" t="n">
        <v>0</v>
      </c>
      <c r="D10" s="47" t="n">
        <v>0</v>
      </c>
      <c r="E10" s="47" t="n">
        <v>0</v>
      </c>
      <c r="F10" s="47" t="n">
        <v>0</v>
      </c>
      <c r="G10" s="47" t="n">
        <v>0</v>
      </c>
      <c r="H10" s="47" t="n">
        <v>0</v>
      </c>
      <c r="I10" s="46" t="n">
        <f aca="false">SUM(C10:H10)</f>
        <v>0</v>
      </c>
      <c r="J10" s="47" t="n">
        <v>0</v>
      </c>
      <c r="K10" s="47" t="n">
        <v>0</v>
      </c>
      <c r="L10" s="47" t="n">
        <v>0</v>
      </c>
      <c r="M10" s="47" t="n">
        <v>0</v>
      </c>
      <c r="N10" s="47" t="n">
        <v>0</v>
      </c>
      <c r="O10" s="47" t="n">
        <v>0</v>
      </c>
      <c r="P10" s="47" t="n">
        <v>0</v>
      </c>
      <c r="Q10" s="47" t="n">
        <v>0</v>
      </c>
      <c r="R10" s="47" t="n">
        <v>0</v>
      </c>
      <c r="S10" s="47" t="n">
        <v>0</v>
      </c>
      <c r="T10" s="47" t="n">
        <v>0</v>
      </c>
      <c r="U10" s="47" t="n">
        <v>0</v>
      </c>
      <c r="V10" s="46" t="n">
        <f aca="false">SUM(J10:U10)</f>
        <v>0</v>
      </c>
    </row>
    <row r="11" customFormat="false" ht="15" hidden="false" customHeight="false" outlineLevel="0" collapsed="false">
      <c r="A11" s="8" t="s">
        <v>106</v>
      </c>
      <c r="C11" s="47" t="n">
        <v>0</v>
      </c>
      <c r="D11" s="47" t="n">
        <v>0</v>
      </c>
      <c r="E11" s="47" t="n">
        <v>0</v>
      </c>
      <c r="F11" s="47" t="n">
        <v>0</v>
      </c>
      <c r="G11" s="47" t="n">
        <v>0</v>
      </c>
      <c r="H11" s="47" t="n">
        <v>0</v>
      </c>
      <c r="I11" s="46" t="n">
        <f aca="false">SUM(C11:H11)</f>
        <v>0</v>
      </c>
      <c r="J11" s="47" t="n">
        <v>0</v>
      </c>
      <c r="K11" s="47" t="n">
        <v>0</v>
      </c>
      <c r="L11" s="47" t="n">
        <v>0</v>
      </c>
      <c r="M11" s="47" t="n">
        <v>0</v>
      </c>
      <c r="N11" s="47" t="n">
        <v>0</v>
      </c>
      <c r="O11" s="47" t="n">
        <v>0</v>
      </c>
      <c r="P11" s="47" t="n">
        <v>0</v>
      </c>
      <c r="Q11" s="47" t="n">
        <v>0</v>
      </c>
      <c r="R11" s="47" t="n">
        <v>0</v>
      </c>
      <c r="S11" s="47" t="n">
        <v>0</v>
      </c>
      <c r="T11" s="47" t="n">
        <v>0</v>
      </c>
      <c r="U11" s="47" t="n">
        <v>0</v>
      </c>
      <c r="V11" s="46" t="n">
        <f aca="false">SUM(J11:U11)</f>
        <v>0</v>
      </c>
    </row>
    <row r="12" customFormat="false" ht="15" hidden="false" customHeight="false" outlineLevel="0" collapsed="false">
      <c r="A12" s="8" t="s">
        <v>107</v>
      </c>
      <c r="C12" s="47" t="n">
        <v>0</v>
      </c>
      <c r="D12" s="47" t="n">
        <v>0</v>
      </c>
      <c r="E12" s="47" t="n">
        <v>0</v>
      </c>
      <c r="F12" s="47" t="n">
        <v>0</v>
      </c>
      <c r="G12" s="47" t="n">
        <v>0</v>
      </c>
      <c r="H12" s="47" t="n">
        <v>0</v>
      </c>
      <c r="I12" s="46" t="n">
        <f aca="false">SUM(C12:H12)</f>
        <v>0</v>
      </c>
      <c r="J12" s="47" t="n">
        <v>0</v>
      </c>
      <c r="K12" s="47" t="n">
        <v>0</v>
      </c>
      <c r="L12" s="47" t="n">
        <v>0</v>
      </c>
      <c r="M12" s="47" t="n">
        <v>0</v>
      </c>
      <c r="N12" s="47" t="n">
        <v>0</v>
      </c>
      <c r="O12" s="47" t="n">
        <v>0</v>
      </c>
      <c r="P12" s="47" t="n">
        <v>0</v>
      </c>
      <c r="Q12" s="47" t="n">
        <v>0</v>
      </c>
      <c r="R12" s="47" t="n">
        <v>0</v>
      </c>
      <c r="S12" s="47" t="n">
        <v>0</v>
      </c>
      <c r="T12" s="47" t="n">
        <v>0</v>
      </c>
      <c r="U12" s="47" t="n">
        <v>0</v>
      </c>
      <c r="V12" s="46" t="n">
        <f aca="false">SUM(J12:U12)</f>
        <v>0</v>
      </c>
    </row>
    <row r="13" customFormat="false" ht="15" hidden="false" customHeight="false" outlineLevel="0" collapsed="false">
      <c r="A13" s="40" t="s">
        <v>108</v>
      </c>
      <c r="C13" s="48" t="n">
        <f aca="false">SUM(C8:C12)</f>
        <v>3800269</v>
      </c>
      <c r="D13" s="48" t="n">
        <f aca="false">SUM(D8:D12)</f>
        <v>3800269</v>
      </c>
      <c r="E13" s="48" t="n">
        <f aca="false">SUM(E8:E12)</f>
        <v>3800269</v>
      </c>
      <c r="F13" s="48" t="n">
        <f aca="false">SUM(F8:F12)</f>
        <v>3800269</v>
      </c>
      <c r="G13" s="48" t="n">
        <f aca="false">SUM(G8:G12)</f>
        <v>3800269</v>
      </c>
      <c r="H13" s="48" t="n">
        <f aca="false">SUM(H8:H12)</f>
        <v>3800269</v>
      </c>
      <c r="I13" s="46" t="n">
        <f aca="false">SUM(C13:H13)</f>
        <v>22801614</v>
      </c>
      <c r="J13" s="48" t="n">
        <f aca="false">SUM(J8:J12)</f>
        <v>32253649</v>
      </c>
      <c r="K13" s="48" t="n">
        <f aca="false">SUM(K8:K12)</f>
        <v>3800269</v>
      </c>
      <c r="L13" s="48" t="n">
        <f aca="false">SUM(L8:L12)</f>
        <v>3800269</v>
      </c>
      <c r="M13" s="48" t="n">
        <f aca="false">SUM(M8:M12)</f>
        <v>3800269</v>
      </c>
      <c r="N13" s="48" t="n">
        <f aca="false">SUM(N8:N12)</f>
        <v>3800269</v>
      </c>
      <c r="O13" s="48" t="n">
        <f aca="false">SUM(O8:O12)</f>
        <v>3800269</v>
      </c>
      <c r="P13" s="48" t="n">
        <f aca="false">SUM(P8:P12)</f>
        <v>3800269</v>
      </c>
      <c r="Q13" s="48" t="n">
        <f aca="false">SUM(Q8:Q12)</f>
        <v>3800269</v>
      </c>
      <c r="R13" s="48" t="n">
        <f aca="false">SUM(R8:R12)</f>
        <v>3800269</v>
      </c>
      <c r="S13" s="48" t="n">
        <f aca="false">SUM(S8:S12)</f>
        <v>3800269</v>
      </c>
      <c r="T13" s="48" t="n">
        <f aca="false">SUM(T8:T12)</f>
        <v>3800269</v>
      </c>
      <c r="U13" s="48" t="n">
        <f aca="false">SUM(U8:U12)</f>
        <v>3800269</v>
      </c>
      <c r="V13" s="46" t="n">
        <f aca="false">SUM(J13:U13)</f>
        <v>74056608</v>
      </c>
    </row>
    <row r="14" customFormat="false" ht="15" hidden="false" customHeight="false" outlineLevel="0" collapsed="false">
      <c r="A14" s="3" t="s">
        <v>109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customFormat="false" ht="15" hidden="false" customHeight="false" outlineLevel="0" collapsed="false">
      <c r="A15" s="8" t="s">
        <v>86</v>
      </c>
      <c r="C15" s="9" t="n">
        <f aca="false">INDEX(前提!$C$32:$N$32,MOD(MONTH(C$4)-4,12)+1)</f>
        <v>900000</v>
      </c>
      <c r="D15" s="9" t="n">
        <f aca="false">INDEX(前提!$C$32:$N$32,MOD(MONTH(D$4)-4,12)+1)</f>
        <v>900000</v>
      </c>
      <c r="E15" s="9" t="n">
        <f aca="false">INDEX(前提!$C$32:$N$32,MOD(MONTH(E$4)-4,12)+1)</f>
        <v>900000</v>
      </c>
      <c r="F15" s="9" t="n">
        <f aca="false">INDEX(前提!$C$32:$N$32,MOD(MONTH(F$4)-4,12)+1)</f>
        <v>900000</v>
      </c>
      <c r="G15" s="9" t="n">
        <f aca="false">INDEX(前提!$C$32:$N$32,MOD(MONTH(G$4)-4,12)+1)</f>
        <v>900000</v>
      </c>
      <c r="H15" s="9" t="n">
        <f aca="false">INDEX(前提!$C$32:$N$32,MOD(MONTH(H$4)-4,12)+1)</f>
        <v>900000</v>
      </c>
      <c r="I15" s="46" t="n">
        <f aca="false">SUM(C15:H15)</f>
        <v>5400000</v>
      </c>
      <c r="J15" s="9" t="n">
        <f aca="false">INDEX(前提!$C$32:$N$32,MOD(MONTH(J$4)-4,12)+1)</f>
        <v>6300000</v>
      </c>
      <c r="K15" s="9" t="n">
        <f aca="false">INDEX(前提!$C$32:$N$32,MOD(MONTH(K$4)-4,12)+1)</f>
        <v>900000</v>
      </c>
      <c r="L15" s="9" t="n">
        <f aca="false">INDEX(前提!$C$32:$N$32,MOD(MONTH(L$4)-4,12)+1)</f>
        <v>900000</v>
      </c>
      <c r="M15" s="9" t="n">
        <f aca="false">INDEX(前提!$C$32:$N$32,MOD(MONTH(M$4)-4,12)+1)</f>
        <v>900000</v>
      </c>
      <c r="N15" s="9" t="n">
        <f aca="false">INDEX(前提!$C$32:$N$32,MOD(MONTH(N$4)-4,12)+1)</f>
        <v>900000</v>
      </c>
      <c r="O15" s="9" t="n">
        <f aca="false">INDEX(前提!$C$32:$N$32,MOD(MONTH(O$4)-4,12)+1)</f>
        <v>2400000</v>
      </c>
      <c r="P15" s="9" t="n">
        <f aca="false">INDEX(前提!$C$32:$N$32,MOD(MONTH(P$4)-4,12)+1)</f>
        <v>900000</v>
      </c>
      <c r="Q15" s="9" t="n">
        <f aca="false">INDEX(前提!$C$32:$N$32,MOD(MONTH(Q$4)-4,12)+1)</f>
        <v>900000</v>
      </c>
      <c r="R15" s="9" t="n">
        <f aca="false">INDEX(前提!$C$32:$N$32,MOD(MONTH(R$4)-4,12)+1)</f>
        <v>900000</v>
      </c>
      <c r="S15" s="9" t="n">
        <f aca="false">INDEX(前提!$C$32:$N$32,MOD(MONTH(S$4)-4,12)+1)</f>
        <v>900000</v>
      </c>
      <c r="T15" s="9" t="n">
        <f aca="false">INDEX(前提!$C$32:$N$32,MOD(MONTH(T$4)-4,12)+1)</f>
        <v>900000</v>
      </c>
      <c r="U15" s="9" t="n">
        <f aca="false">INDEX(前提!$C$32:$N$32,MOD(MONTH(U$4)-4,12)+1)</f>
        <v>900000</v>
      </c>
      <c r="V15" s="46" t="n">
        <f aca="false">SUM(J15:U15)</f>
        <v>17700000</v>
      </c>
    </row>
    <row r="16" customFormat="false" ht="15" hidden="false" customHeight="false" outlineLevel="0" collapsed="false">
      <c r="A16" s="8" t="s">
        <v>87</v>
      </c>
      <c r="C16" s="9" t="n">
        <f aca="false">INDEX(前提!$C$33:$N$33,MOD(MONTH(C$4)-4,12)+1)</f>
        <v>1106054</v>
      </c>
      <c r="D16" s="9" t="n">
        <f aca="false">INDEX(前提!$C$33:$N$33,MOD(MONTH(D$4)-4,12)+1)</f>
        <v>1106054</v>
      </c>
      <c r="E16" s="9" t="n">
        <f aca="false">INDEX(前提!$C$33:$N$33,MOD(MONTH(E$4)-4,12)+1)</f>
        <v>1106054</v>
      </c>
      <c r="F16" s="9" t="n">
        <f aca="false">INDEX(前提!$C$33:$N$33,MOD(MONTH(F$4)-4,12)+1)</f>
        <v>1106054</v>
      </c>
      <c r="G16" s="9" t="n">
        <f aca="false">INDEX(前提!$C$33:$N$33,MOD(MONTH(G$4)-4,12)+1)</f>
        <v>1106054</v>
      </c>
      <c r="H16" s="9" t="n">
        <f aca="false">INDEX(前提!$C$33:$N$33,MOD(MONTH(H$4)-4,12)+1)</f>
        <v>1106054</v>
      </c>
      <c r="I16" s="46" t="n">
        <f aca="false">SUM(C16:H16)</f>
        <v>6636324</v>
      </c>
      <c r="J16" s="9" t="n">
        <f aca="false">INDEX(前提!$C$33:$N$33,MOD(MONTH(J$4)-4,12)+1)</f>
        <v>8133516</v>
      </c>
      <c r="K16" s="9" t="n">
        <f aca="false">INDEX(前提!$C$33:$N$33,MOD(MONTH(K$4)-4,12)+1)</f>
        <v>672558</v>
      </c>
      <c r="L16" s="9" t="n">
        <f aca="false">INDEX(前提!$C$33:$N$33,MOD(MONTH(L$4)-4,12)+1)</f>
        <v>1106054</v>
      </c>
      <c r="M16" s="9" t="n">
        <f aca="false">INDEX(前提!$C$33:$N$33,MOD(MONTH(M$4)-4,12)+1)</f>
        <v>1378300</v>
      </c>
      <c r="N16" s="9" t="n">
        <f aca="false">INDEX(前提!$C$33:$N$33,MOD(MONTH(N$4)-4,12)+1)</f>
        <v>890878</v>
      </c>
      <c r="O16" s="9" t="n">
        <f aca="false">INDEX(前提!$C$33:$N$33,MOD(MONTH(O$4)-4,12)+1)</f>
        <v>1207652</v>
      </c>
      <c r="P16" s="9" t="n">
        <f aca="false">INDEX(前提!$C$33:$N$33,MOD(MONTH(P$4)-4,12)+1)</f>
        <v>1106054</v>
      </c>
      <c r="Q16" s="9" t="n">
        <f aca="false">INDEX(前提!$C$33:$N$33,MOD(MONTH(Q$4)-4,12)+1)</f>
        <v>1106054</v>
      </c>
      <c r="R16" s="9" t="n">
        <f aca="false">INDEX(前提!$C$33:$N$33,MOD(MONTH(R$4)-4,12)+1)</f>
        <v>1106054</v>
      </c>
      <c r="S16" s="9" t="n">
        <f aca="false">INDEX(前提!$C$33:$N$33,MOD(MONTH(S$4)-4,12)+1)</f>
        <v>1106054</v>
      </c>
      <c r="T16" s="9" t="n">
        <f aca="false">INDEX(前提!$C$33:$N$33,MOD(MONTH(T$4)-4,12)+1)</f>
        <v>1106054</v>
      </c>
      <c r="U16" s="9" t="n">
        <f aca="false">INDEX(前提!$C$33:$N$33,MOD(MONTH(U$4)-4,12)+1)</f>
        <v>1106054</v>
      </c>
      <c r="V16" s="46" t="n">
        <f aca="false">SUM(J16:U16)</f>
        <v>20025282</v>
      </c>
    </row>
    <row r="17" customFormat="false" ht="15" hidden="false" customHeight="false" outlineLevel="0" collapsed="false">
      <c r="A17" s="8" t="s">
        <v>88</v>
      </c>
      <c r="C17" s="9" t="n">
        <f aca="false">INDEX(前提!$C$34:$N$34,MOD(MONTH(C$4)-4,12)+1)</f>
        <v>2591448</v>
      </c>
      <c r="D17" s="9" t="n">
        <f aca="false">INDEX(前提!$C$34:$N$34,MOD(MONTH(D$4)-4,12)+1)</f>
        <v>2591448</v>
      </c>
      <c r="E17" s="9" t="n">
        <f aca="false">INDEX(前提!$C$34:$N$34,MOD(MONTH(E$4)-4,12)+1)</f>
        <v>2591448</v>
      </c>
      <c r="F17" s="9" t="n">
        <f aca="false">INDEX(前提!$C$34:$N$34,MOD(MONTH(F$4)-4,12)+1)</f>
        <v>2591448</v>
      </c>
      <c r="G17" s="9" t="n">
        <f aca="false">INDEX(前提!$C$34:$N$34,MOD(MONTH(G$4)-4,12)+1)</f>
        <v>2591448</v>
      </c>
      <c r="H17" s="9" t="n">
        <f aca="false">INDEX(前提!$C$34:$N$34,MOD(MONTH(H$4)-4,12)+1)</f>
        <v>2591448</v>
      </c>
      <c r="I17" s="46" t="n">
        <f aca="false">SUM(C17:H17)</f>
        <v>15548688</v>
      </c>
      <c r="J17" s="9" t="n">
        <f aca="false">INDEX(前提!$C$34:$N$34,MOD(MONTH(J$4)-4,12)+1)</f>
        <v>6100386</v>
      </c>
      <c r="K17" s="9" t="n">
        <f aca="false">INDEX(前提!$C$34:$N$34,MOD(MONTH(K$4)-4,12)+1)</f>
        <v>868788</v>
      </c>
      <c r="L17" s="9" t="n">
        <f aca="false">INDEX(前提!$C$34:$N$34,MOD(MONTH(L$4)-4,12)+1)</f>
        <v>9169071</v>
      </c>
      <c r="M17" s="9" t="n">
        <f aca="false">INDEX(前提!$C$34:$N$34,MOD(MONTH(M$4)-4,12)+1)</f>
        <v>2591448</v>
      </c>
      <c r="N17" s="9" t="n">
        <f aca="false">INDEX(前提!$C$34:$N$34,MOD(MONTH(N$4)-4,12)+1)</f>
        <v>1350056</v>
      </c>
      <c r="O17" s="9" t="n">
        <f aca="false">INDEX(前提!$C$34:$N$34,MOD(MONTH(O$4)-4,12)+1)</f>
        <v>4537846</v>
      </c>
      <c r="P17" s="9" t="n">
        <f aca="false">INDEX(前提!$C$34:$N$34,MOD(MONTH(P$4)-4,12)+1)</f>
        <v>2591448</v>
      </c>
      <c r="Q17" s="9" t="n">
        <f aca="false">INDEX(前提!$C$34:$N$34,MOD(MONTH(Q$4)-4,12)+1)</f>
        <v>2591448</v>
      </c>
      <c r="R17" s="9" t="n">
        <f aca="false">INDEX(前提!$C$34:$N$34,MOD(MONTH(R$4)-4,12)+1)</f>
        <v>2591448</v>
      </c>
      <c r="S17" s="9" t="n">
        <f aca="false">INDEX(前提!$C$34:$N$34,MOD(MONTH(S$4)-4,12)+1)</f>
        <v>2591448</v>
      </c>
      <c r="T17" s="9" t="n">
        <f aca="false">INDEX(前提!$C$34:$N$34,MOD(MONTH(T$4)-4,12)+1)</f>
        <v>2591448</v>
      </c>
      <c r="U17" s="9" t="n">
        <f aca="false">INDEX(前提!$C$34:$N$34,MOD(MONTH(U$4)-4,12)+1)</f>
        <v>2591448</v>
      </c>
      <c r="V17" s="46" t="n">
        <f aca="false">SUM(J17:U17)</f>
        <v>40166283</v>
      </c>
    </row>
    <row r="18" customFormat="false" ht="15" hidden="false" customHeight="false" outlineLevel="0" collapsed="false">
      <c r="A18" s="8" t="s">
        <v>89</v>
      </c>
      <c r="C18" s="9" t="n">
        <f aca="false">INDEX(前提!$C$35:$N$35,MOD(MONTH(C$4)-4,12)+1)</f>
        <v>22952</v>
      </c>
      <c r="D18" s="9" t="n">
        <f aca="false">INDEX(前提!$C$35:$N$35,MOD(MONTH(D$4)-4,12)+1)</f>
        <v>22952</v>
      </c>
      <c r="E18" s="9" t="n">
        <f aca="false">INDEX(前提!$C$35:$N$35,MOD(MONTH(E$4)-4,12)+1)</f>
        <v>22952</v>
      </c>
      <c r="F18" s="9" t="n">
        <f aca="false">INDEX(前提!$C$35:$N$35,MOD(MONTH(F$4)-4,12)+1)</f>
        <v>22952</v>
      </c>
      <c r="G18" s="9" t="n">
        <f aca="false">INDEX(前提!$C$35:$N$35,MOD(MONTH(G$4)-4,12)+1)</f>
        <v>22952</v>
      </c>
      <c r="H18" s="9" t="n">
        <f aca="false">INDEX(前提!$C$35:$N$35,MOD(MONTH(H$4)-4,12)+1)</f>
        <v>22952</v>
      </c>
      <c r="I18" s="46" t="n">
        <f aca="false">SUM(C18:H18)</f>
        <v>137712</v>
      </c>
      <c r="J18" s="9" t="n">
        <f aca="false">INDEX(前提!$C$35:$N$35,MOD(MONTH(J$4)-4,12)+1)</f>
        <v>5496995</v>
      </c>
      <c r="K18" s="9" t="n">
        <f aca="false">INDEX(前提!$C$35:$N$35,MOD(MONTH(K$4)-4,12)+1)</f>
        <v>1719800</v>
      </c>
      <c r="L18" s="9" t="n">
        <f aca="false">INDEX(前提!$C$35:$N$35,MOD(MONTH(L$4)-4,12)+1)</f>
        <v>35500</v>
      </c>
      <c r="M18" s="9" t="n">
        <f aca="false">INDEX(前提!$C$35:$N$35,MOD(MONTH(M$4)-4,12)+1)</f>
        <v>15705</v>
      </c>
      <c r="N18" s="9" t="n">
        <f aca="false">INDEX(前提!$C$35:$N$35,MOD(MONTH(N$4)-4,12)+1)</f>
        <v>22952</v>
      </c>
      <c r="O18" s="9" t="n">
        <f aca="false">INDEX(前提!$C$35:$N$35,MOD(MONTH(O$4)-4,12)+1)</f>
        <v>600</v>
      </c>
      <c r="P18" s="9" t="n">
        <f aca="false">INDEX(前提!$C$35:$N$35,MOD(MONTH(P$4)-4,12)+1)</f>
        <v>22952</v>
      </c>
      <c r="Q18" s="9" t="n">
        <f aca="false">INDEX(前提!$C$35:$N$35,MOD(MONTH(Q$4)-4,12)+1)</f>
        <v>22952</v>
      </c>
      <c r="R18" s="9" t="n">
        <f aca="false">INDEX(前提!$C$35:$N$35,MOD(MONTH(R$4)-4,12)+1)</f>
        <v>22952</v>
      </c>
      <c r="S18" s="9" t="n">
        <f aca="false">INDEX(前提!$C$35:$N$35,MOD(MONTH(S$4)-4,12)+1)</f>
        <v>22952</v>
      </c>
      <c r="T18" s="9" t="n">
        <f aca="false">INDEX(前提!$C$35:$N$35,MOD(MONTH(T$4)-4,12)+1)</f>
        <v>22952</v>
      </c>
      <c r="U18" s="9" t="n">
        <f aca="false">INDEX(前提!$C$35:$N$35,MOD(MONTH(U$4)-4,12)+1)</f>
        <v>22952</v>
      </c>
      <c r="V18" s="46" t="n">
        <f aca="false">SUM(J18:U18)</f>
        <v>7429264</v>
      </c>
    </row>
    <row r="19" customFormat="false" ht="15" hidden="false" customHeight="false" outlineLevel="0" collapsed="false">
      <c r="A19" s="8" t="s">
        <v>90</v>
      </c>
      <c r="C19" s="9" t="n">
        <f aca="false">INDEX(前提!$C$36:$N$36,MOD(MONTH(C$4)-4,12)+1)</f>
        <v>515232</v>
      </c>
      <c r="D19" s="9" t="n">
        <f aca="false">INDEX(前提!$C$36:$N$36,MOD(MONTH(D$4)-4,12)+1)</f>
        <v>515232</v>
      </c>
      <c r="E19" s="9" t="n">
        <f aca="false">INDEX(前提!$C$36:$N$36,MOD(MONTH(E$4)-4,12)+1)</f>
        <v>515232</v>
      </c>
      <c r="F19" s="9" t="n">
        <f aca="false">INDEX(前提!$C$36:$N$36,MOD(MONTH(F$4)-4,12)+1)</f>
        <v>515232</v>
      </c>
      <c r="G19" s="9" t="n">
        <f aca="false">INDEX(前提!$C$36:$N$36,MOD(MONTH(G$4)-4,12)+1)</f>
        <v>515232</v>
      </c>
      <c r="H19" s="9" t="n">
        <f aca="false">INDEX(前提!$C$36:$N$36,MOD(MONTH(H$4)-4,12)+1)</f>
        <v>515232</v>
      </c>
      <c r="I19" s="46" t="n">
        <f aca="false">SUM(C19:H19)</f>
        <v>3091392</v>
      </c>
      <c r="J19" s="9" t="n">
        <f aca="false">INDEX(前提!$C$36:$N$36,MOD(MONTH(J$4)-4,12)+1)</f>
        <v>3239627</v>
      </c>
      <c r="K19" s="9" t="n">
        <f aca="false">INDEX(前提!$C$36:$N$36,MOD(MONTH(K$4)-4,12)+1)</f>
        <v>424654</v>
      </c>
      <c r="L19" s="9" t="n">
        <f aca="false">INDEX(前提!$C$36:$N$36,MOD(MONTH(L$4)-4,12)+1)</f>
        <v>507425</v>
      </c>
      <c r="M19" s="9" t="n">
        <f aca="false">INDEX(前提!$C$36:$N$36,MOD(MONTH(M$4)-4,12)+1)</f>
        <v>515232</v>
      </c>
      <c r="N19" s="9" t="n">
        <f aca="false">INDEX(前提!$C$36:$N$36,MOD(MONTH(N$4)-4,12)+1)</f>
        <v>649918</v>
      </c>
      <c r="O19" s="9" t="n">
        <f aca="false">INDEX(前提!$C$36:$N$36,MOD(MONTH(O$4)-4,12)+1)</f>
        <v>518550</v>
      </c>
      <c r="P19" s="9" t="n">
        <f aca="false">INDEX(前提!$C$36:$N$36,MOD(MONTH(P$4)-4,12)+1)</f>
        <v>515232</v>
      </c>
      <c r="Q19" s="9" t="n">
        <f aca="false">INDEX(前提!$C$36:$N$36,MOD(MONTH(Q$4)-4,12)+1)</f>
        <v>515232</v>
      </c>
      <c r="R19" s="9" t="n">
        <f aca="false">INDEX(前提!$C$36:$N$36,MOD(MONTH(R$4)-4,12)+1)</f>
        <v>515232</v>
      </c>
      <c r="S19" s="9" t="n">
        <f aca="false">INDEX(前提!$C$36:$N$36,MOD(MONTH(S$4)-4,12)+1)</f>
        <v>515232</v>
      </c>
      <c r="T19" s="9" t="n">
        <f aca="false">INDEX(前提!$C$36:$N$36,MOD(MONTH(T$4)-4,12)+1)</f>
        <v>515232</v>
      </c>
      <c r="U19" s="9" t="n">
        <f aca="false">INDEX(前提!$C$36:$N$36,MOD(MONTH(U$4)-4,12)+1)</f>
        <v>515232</v>
      </c>
      <c r="V19" s="46" t="n">
        <f aca="false">SUM(J19:U19)</f>
        <v>8946798</v>
      </c>
    </row>
    <row r="20" customFormat="false" ht="15" hidden="false" customHeight="false" outlineLevel="0" collapsed="false">
      <c r="A20" s="8" t="s">
        <v>91</v>
      </c>
      <c r="C20" s="9" t="n">
        <f aca="false">INDEX(前提!$C$37:$N$37,MOD(MONTH(C$4)-4,12)+1)</f>
        <v>753886</v>
      </c>
      <c r="D20" s="9" t="n">
        <f aca="false">INDEX(前提!$C$37:$N$37,MOD(MONTH(D$4)-4,12)+1)</f>
        <v>753886</v>
      </c>
      <c r="E20" s="9" t="n">
        <f aca="false">INDEX(前提!$C$37:$N$37,MOD(MONTH(E$4)-4,12)+1)</f>
        <v>753886</v>
      </c>
      <c r="F20" s="9" t="n">
        <f aca="false">INDEX(前提!$C$37:$N$37,MOD(MONTH(F$4)-4,12)+1)</f>
        <v>753886</v>
      </c>
      <c r="G20" s="9" t="n">
        <f aca="false">INDEX(前提!$C$37:$N$37,MOD(MONTH(G$4)-4,12)+1)</f>
        <v>753886</v>
      </c>
      <c r="H20" s="9" t="n">
        <f aca="false">INDEX(前提!$C$37:$N$37,MOD(MONTH(H$4)-4,12)+1)</f>
        <v>753886</v>
      </c>
      <c r="I20" s="46" t="n">
        <f aca="false">SUM(C20:H20)</f>
        <v>4523316</v>
      </c>
      <c r="J20" s="9" t="n">
        <f aca="false">INDEX(前提!$C$37:$N$37,MOD(MONTH(J$4)-4,12)+1)</f>
        <v>7770390</v>
      </c>
      <c r="K20" s="9" t="n">
        <f aca="false">INDEX(前提!$C$37:$N$37,MOD(MONTH(K$4)-4,12)+1)</f>
        <v>935455</v>
      </c>
      <c r="L20" s="9" t="n">
        <f aca="false">INDEX(前提!$C$37:$N$37,MOD(MONTH(L$4)-4,12)+1)</f>
        <v>831674</v>
      </c>
      <c r="M20" s="9" t="n">
        <f aca="false">INDEX(前提!$C$37:$N$37,MOD(MONTH(M$4)-4,12)+1)</f>
        <v>753886</v>
      </c>
      <c r="N20" s="9" t="n">
        <f aca="false">INDEX(前提!$C$37:$N$37,MOD(MONTH(N$4)-4,12)+1)</f>
        <v>413189</v>
      </c>
      <c r="O20" s="9" t="n">
        <f aca="false">INDEX(前提!$C$37:$N$37,MOD(MONTH(O$4)-4,12)+1)</f>
        <v>247264</v>
      </c>
      <c r="P20" s="9" t="n">
        <f aca="false">INDEX(前提!$C$37:$N$37,MOD(MONTH(P$4)-4,12)+1)</f>
        <v>753886</v>
      </c>
      <c r="Q20" s="9" t="n">
        <f aca="false">INDEX(前提!$C$37:$N$37,MOD(MONTH(Q$4)-4,12)+1)</f>
        <v>753886</v>
      </c>
      <c r="R20" s="9" t="n">
        <f aca="false">INDEX(前提!$C$37:$N$37,MOD(MONTH(R$4)-4,12)+1)</f>
        <v>753886</v>
      </c>
      <c r="S20" s="9" t="n">
        <f aca="false">INDEX(前提!$C$37:$N$37,MOD(MONTH(S$4)-4,12)+1)</f>
        <v>753886</v>
      </c>
      <c r="T20" s="9" t="n">
        <f aca="false">INDEX(前提!$C$37:$N$37,MOD(MONTH(T$4)-4,12)+1)</f>
        <v>753886</v>
      </c>
      <c r="U20" s="9" t="n">
        <f aca="false">INDEX(前提!$C$37:$N$37,MOD(MONTH(U$4)-4,12)+1)</f>
        <v>753886</v>
      </c>
      <c r="V20" s="46" t="n">
        <f aca="false">SUM(J20:U20)</f>
        <v>15475174</v>
      </c>
    </row>
    <row r="21" customFormat="false" ht="15" hidden="false" customHeight="false" outlineLevel="0" collapsed="false">
      <c r="A21" s="8" t="s">
        <v>92</v>
      </c>
      <c r="C21" s="9" t="n">
        <f aca="false">INDEX(前提!$C$38:$N$38,MOD(MONTH(C$4)-4,12)+1)</f>
        <v>91475</v>
      </c>
      <c r="D21" s="9" t="n">
        <f aca="false">INDEX(前提!$C$38:$N$38,MOD(MONTH(D$4)-4,12)+1)</f>
        <v>91475</v>
      </c>
      <c r="E21" s="9" t="n">
        <f aca="false">INDEX(前提!$C$38:$N$38,MOD(MONTH(E$4)-4,12)+1)</f>
        <v>91475</v>
      </c>
      <c r="F21" s="9" t="n">
        <f aca="false">INDEX(前提!$C$38:$N$38,MOD(MONTH(F$4)-4,12)+1)</f>
        <v>91475</v>
      </c>
      <c r="G21" s="9" t="n">
        <f aca="false">INDEX(前提!$C$38:$N$38,MOD(MONTH(G$4)-4,12)+1)</f>
        <v>91475</v>
      </c>
      <c r="H21" s="9" t="n">
        <f aca="false">INDEX(前提!$C$38:$N$38,MOD(MONTH(H$4)-4,12)+1)</f>
        <v>91475</v>
      </c>
      <c r="I21" s="46" t="n">
        <f aca="false">SUM(C21:H21)</f>
        <v>548850</v>
      </c>
      <c r="J21" s="9" t="n">
        <f aca="false">INDEX(前提!$C$38:$N$38,MOD(MONTH(J$4)-4,12)+1)</f>
        <v>707887</v>
      </c>
      <c r="K21" s="9" t="n">
        <f aca="false">INDEX(前提!$C$38:$N$38,MOD(MONTH(K$4)-4,12)+1)</f>
        <v>28725</v>
      </c>
      <c r="L21" s="9" t="n">
        <f aca="false">INDEX(前提!$C$38:$N$38,MOD(MONTH(L$4)-4,12)+1)</f>
        <v>25723</v>
      </c>
      <c r="M21" s="9" t="n">
        <f aca="false">INDEX(前提!$C$38:$N$38,MOD(MONTH(M$4)-4,12)+1)</f>
        <v>91475</v>
      </c>
      <c r="N21" s="9" t="n">
        <f aca="false">INDEX(前提!$C$38:$N$38,MOD(MONTH(N$4)-4,12)+1)</f>
        <v>151279</v>
      </c>
      <c r="O21" s="9" t="n">
        <f aca="false">INDEX(前提!$C$38:$N$38,MOD(MONTH(O$4)-4,12)+1)</f>
        <v>255843</v>
      </c>
      <c r="P21" s="9" t="n">
        <f aca="false">INDEX(前提!$C$38:$N$38,MOD(MONTH(P$4)-4,12)+1)</f>
        <v>91475</v>
      </c>
      <c r="Q21" s="9" t="n">
        <f aca="false">INDEX(前提!$C$38:$N$38,MOD(MONTH(Q$4)-4,12)+1)</f>
        <v>91475</v>
      </c>
      <c r="R21" s="9" t="n">
        <f aca="false">INDEX(前提!$C$38:$N$38,MOD(MONTH(R$4)-4,12)+1)</f>
        <v>91475</v>
      </c>
      <c r="S21" s="9" t="n">
        <f aca="false">INDEX(前提!$C$38:$N$38,MOD(MONTH(S$4)-4,12)+1)</f>
        <v>91475</v>
      </c>
      <c r="T21" s="9" t="n">
        <f aca="false">INDEX(前提!$C$38:$N$38,MOD(MONTH(T$4)-4,12)+1)</f>
        <v>91475</v>
      </c>
      <c r="U21" s="9" t="n">
        <f aca="false">INDEX(前提!$C$38:$N$38,MOD(MONTH(U$4)-4,12)+1)</f>
        <v>91475</v>
      </c>
      <c r="V21" s="46" t="n">
        <f aca="false">SUM(J21:U21)</f>
        <v>1809782</v>
      </c>
    </row>
    <row r="22" customFormat="false" ht="15" hidden="false" customHeight="false" outlineLevel="0" collapsed="false">
      <c r="A22" s="8" t="s">
        <v>93</v>
      </c>
      <c r="C22" s="9" t="n">
        <f aca="false">INDEX(前提!$C$39:$N$39,MOD(MONTH(C$4)-4,12)+1)</f>
        <v>228050</v>
      </c>
      <c r="D22" s="9" t="n">
        <f aca="false">INDEX(前提!$C$39:$N$39,MOD(MONTH(D$4)-4,12)+1)</f>
        <v>228050</v>
      </c>
      <c r="E22" s="9" t="n">
        <f aca="false">INDEX(前提!$C$39:$N$39,MOD(MONTH(E$4)-4,12)+1)</f>
        <v>228050</v>
      </c>
      <c r="F22" s="9" t="n">
        <f aca="false">INDEX(前提!$C$39:$N$39,MOD(MONTH(F$4)-4,12)+1)</f>
        <v>228050</v>
      </c>
      <c r="G22" s="9" t="n">
        <f aca="false">INDEX(前提!$C$39:$N$39,MOD(MONTH(G$4)-4,12)+1)</f>
        <v>228050</v>
      </c>
      <c r="H22" s="9" t="n">
        <f aca="false">INDEX(前提!$C$39:$N$39,MOD(MONTH(H$4)-4,12)+1)</f>
        <v>228050</v>
      </c>
      <c r="I22" s="46" t="n">
        <f aca="false">SUM(C22:H22)</f>
        <v>1368300</v>
      </c>
      <c r="J22" s="9" t="n">
        <f aca="false">INDEX(前提!$C$39:$N$39,MOD(MONTH(J$4)-4,12)+1)</f>
        <v>1979117</v>
      </c>
      <c r="K22" s="9" t="n">
        <f aca="false">INDEX(前提!$C$39:$N$39,MOD(MONTH(K$4)-4,12)+1)</f>
        <v>249595</v>
      </c>
      <c r="L22" s="9" t="n">
        <f aca="false">INDEX(前提!$C$39:$N$39,MOD(MONTH(L$4)-4,12)+1)</f>
        <v>255950</v>
      </c>
      <c r="M22" s="9" t="n">
        <f aca="false">INDEX(前提!$C$39:$N$39,MOD(MONTH(M$4)-4,12)+1)</f>
        <v>204095</v>
      </c>
      <c r="N22" s="9" t="n">
        <f aca="false">INDEX(前提!$C$39:$N$39,MOD(MONTH(N$4)-4,12)+1)</f>
        <v>228050</v>
      </c>
      <c r="O22" s="9" t="n">
        <f aca="false">INDEX(前提!$C$39:$N$39,MOD(MONTH(O$4)-4,12)+1)</f>
        <v>195150</v>
      </c>
      <c r="P22" s="9" t="n">
        <f aca="false">INDEX(前提!$C$39:$N$39,MOD(MONTH(P$4)-4,12)+1)</f>
        <v>228050</v>
      </c>
      <c r="Q22" s="9" t="n">
        <f aca="false">INDEX(前提!$C$39:$N$39,MOD(MONTH(Q$4)-4,12)+1)</f>
        <v>228050</v>
      </c>
      <c r="R22" s="9" t="n">
        <f aca="false">INDEX(前提!$C$39:$N$39,MOD(MONTH(R$4)-4,12)+1)</f>
        <v>228050</v>
      </c>
      <c r="S22" s="9" t="n">
        <f aca="false">INDEX(前提!$C$39:$N$39,MOD(MONTH(S$4)-4,12)+1)</f>
        <v>228050</v>
      </c>
      <c r="T22" s="9" t="n">
        <f aca="false">INDEX(前提!$C$39:$N$39,MOD(MONTH(T$4)-4,12)+1)</f>
        <v>228050</v>
      </c>
      <c r="U22" s="9" t="n">
        <f aca="false">INDEX(前提!$C$39:$N$39,MOD(MONTH(U$4)-4,12)+1)</f>
        <v>228050</v>
      </c>
      <c r="V22" s="46" t="n">
        <f aca="false">SUM(J22:U22)</f>
        <v>4480257</v>
      </c>
    </row>
    <row r="23" customFormat="false" ht="15" hidden="false" customHeight="false" outlineLevel="0" collapsed="false">
      <c r="A23" s="8" t="s">
        <v>110</v>
      </c>
      <c r="C23" s="9" t="n">
        <f aca="false">IF(AND(YEAR(C$4)=2027,MONTH(C$4)=5),前提!$B$14,0)</f>
        <v>0</v>
      </c>
      <c r="D23" s="9" t="n">
        <f aca="false">IF(AND(YEAR(D$4)=2027,MONTH(D$4)=5),前提!$B$14,0)</f>
        <v>0</v>
      </c>
      <c r="E23" s="9" t="n">
        <f aca="false">IF(AND(YEAR(E$4)=2027,MONTH(E$4)=5),前提!$B$14,0)</f>
        <v>0</v>
      </c>
      <c r="F23" s="9" t="n">
        <f aca="false">IF(AND(YEAR(F$4)=2027,MONTH(F$4)=5),前提!$B$14,0)</f>
        <v>0</v>
      </c>
      <c r="G23" s="9" t="n">
        <f aca="false">IF(AND(YEAR(G$4)=2027,MONTH(G$4)=5),前提!$B$14,0)</f>
        <v>0</v>
      </c>
      <c r="H23" s="9" t="n">
        <f aca="false">IF(AND(YEAR(H$4)=2027,MONTH(H$4)=5),前提!$B$14,0)</f>
        <v>0</v>
      </c>
      <c r="I23" s="46" t="n">
        <f aca="false">SUM(C23:H23)</f>
        <v>0</v>
      </c>
      <c r="J23" s="9" t="n">
        <f aca="false">IF(AND(YEAR(J$4)=2027,MONTH(J$4)=5),前提!$B$14,0)</f>
        <v>0</v>
      </c>
      <c r="K23" s="9" t="n">
        <f aca="false">IF(AND(YEAR(K$4)=2027,MONTH(K$4)=5),前提!$B$14,0)</f>
        <v>2965768</v>
      </c>
      <c r="L23" s="9" t="n">
        <f aca="false">IF(AND(YEAR(L$4)=2027,MONTH(L$4)=5),前提!$B$14,0)</f>
        <v>0</v>
      </c>
      <c r="M23" s="9" t="n">
        <f aca="false">IF(AND(YEAR(M$4)=2027,MONTH(M$4)=5),前提!$B$14,0)</f>
        <v>0</v>
      </c>
      <c r="N23" s="9" t="n">
        <f aca="false">IF(AND(YEAR(N$4)=2027,MONTH(N$4)=5),前提!$B$14,0)</f>
        <v>0</v>
      </c>
      <c r="O23" s="9" t="n">
        <f aca="false">IF(AND(YEAR(O$4)=2027,MONTH(O$4)=5),前提!$B$14,0)</f>
        <v>0</v>
      </c>
      <c r="P23" s="9" t="n">
        <f aca="false">IF(AND(YEAR(P$4)=2027,MONTH(P$4)=5),前提!$B$14,0)</f>
        <v>0</v>
      </c>
      <c r="Q23" s="9" t="n">
        <f aca="false">IF(AND(YEAR(Q$4)=2027,MONTH(Q$4)=5),前提!$B$14,0)</f>
        <v>0</v>
      </c>
      <c r="R23" s="9" t="n">
        <f aca="false">IF(AND(YEAR(R$4)=2027,MONTH(R$4)=5),前提!$B$14,0)</f>
        <v>0</v>
      </c>
      <c r="S23" s="9" t="n">
        <f aca="false">IF(AND(YEAR(S$4)=2027,MONTH(S$4)=5),前提!$B$14,0)</f>
        <v>0</v>
      </c>
      <c r="T23" s="9" t="n">
        <f aca="false">IF(AND(YEAR(T$4)=2027,MONTH(T$4)=5),前提!$B$14,0)</f>
        <v>0</v>
      </c>
      <c r="U23" s="9" t="n">
        <f aca="false">IF(AND(YEAR(U$4)=2027,MONTH(U$4)=5),前提!$B$14,0)</f>
        <v>0</v>
      </c>
      <c r="V23" s="46" t="n">
        <f aca="false">SUM(J23:U23)</f>
        <v>2965768</v>
      </c>
    </row>
    <row r="24" customFormat="false" ht="15" hidden="false" customHeight="false" outlineLevel="0" collapsed="false">
      <c r="A24" s="8" t="s">
        <v>111</v>
      </c>
      <c r="C24" s="47" t="n">
        <v>0</v>
      </c>
      <c r="D24" s="47" t="n">
        <v>0</v>
      </c>
      <c r="E24" s="47" t="n">
        <v>0</v>
      </c>
      <c r="F24" s="47" t="n">
        <v>0</v>
      </c>
      <c r="G24" s="47" t="n">
        <v>0</v>
      </c>
      <c r="H24" s="47" t="n">
        <v>0</v>
      </c>
      <c r="I24" s="46" t="n">
        <f aca="false">SUM(C24:H24)</f>
        <v>0</v>
      </c>
      <c r="J24" s="47" t="n">
        <v>0</v>
      </c>
      <c r="K24" s="47" t="n">
        <v>0</v>
      </c>
      <c r="L24" s="47" t="n">
        <v>0</v>
      </c>
      <c r="M24" s="47" t="n">
        <v>0</v>
      </c>
      <c r="N24" s="47" t="n">
        <v>0</v>
      </c>
      <c r="O24" s="47" t="n">
        <v>0</v>
      </c>
      <c r="P24" s="47" t="n">
        <v>0</v>
      </c>
      <c r="Q24" s="47" t="n">
        <v>0</v>
      </c>
      <c r="R24" s="47" t="n">
        <v>0</v>
      </c>
      <c r="S24" s="47" t="n">
        <v>0</v>
      </c>
      <c r="T24" s="47" t="n">
        <v>0</v>
      </c>
      <c r="U24" s="47" t="n">
        <v>0</v>
      </c>
      <c r="V24" s="46" t="n">
        <f aca="false">SUM(J24:U24)</f>
        <v>0</v>
      </c>
    </row>
    <row r="25" customFormat="false" ht="15" hidden="false" customHeight="false" outlineLevel="0" collapsed="false">
      <c r="A25" s="8" t="s">
        <v>112</v>
      </c>
      <c r="C25" s="47" t="n">
        <v>0</v>
      </c>
      <c r="D25" s="47" t="n">
        <v>0</v>
      </c>
      <c r="E25" s="47" t="n">
        <v>0</v>
      </c>
      <c r="F25" s="47" t="n">
        <v>0</v>
      </c>
      <c r="G25" s="47" t="n">
        <v>0</v>
      </c>
      <c r="H25" s="47" t="n">
        <v>0</v>
      </c>
      <c r="I25" s="46" t="n">
        <f aca="false">SUM(C25:H25)</f>
        <v>0</v>
      </c>
      <c r="J25" s="47" t="n">
        <v>0</v>
      </c>
      <c r="K25" s="47" t="n">
        <v>0</v>
      </c>
      <c r="L25" s="47" t="n">
        <v>0</v>
      </c>
      <c r="M25" s="47" t="n">
        <v>0</v>
      </c>
      <c r="N25" s="47" t="n">
        <v>0</v>
      </c>
      <c r="O25" s="47" t="n">
        <v>0</v>
      </c>
      <c r="P25" s="47" t="n">
        <v>0</v>
      </c>
      <c r="Q25" s="47" t="n">
        <v>0</v>
      </c>
      <c r="R25" s="47" t="n">
        <v>0</v>
      </c>
      <c r="S25" s="47" t="n">
        <v>0</v>
      </c>
      <c r="T25" s="47" t="n">
        <v>0</v>
      </c>
      <c r="U25" s="47" t="n">
        <v>0</v>
      </c>
      <c r="V25" s="46" t="n">
        <f aca="false">SUM(J25:U25)</f>
        <v>0</v>
      </c>
    </row>
    <row r="26" customFormat="false" ht="15" hidden="false" customHeight="false" outlineLevel="0" collapsed="false">
      <c r="A26" s="40" t="s">
        <v>113</v>
      </c>
      <c r="C26" s="48" t="n">
        <f aca="false">SUM(C15:C25)</f>
        <v>6209097</v>
      </c>
      <c r="D26" s="48" t="n">
        <f aca="false">SUM(D15:D25)</f>
        <v>6209097</v>
      </c>
      <c r="E26" s="48" t="n">
        <f aca="false">SUM(E15:E25)</f>
        <v>6209097</v>
      </c>
      <c r="F26" s="48" t="n">
        <f aca="false">SUM(F15:F25)</f>
        <v>6209097</v>
      </c>
      <c r="G26" s="48" t="n">
        <f aca="false">SUM(G15:G25)</f>
        <v>6209097</v>
      </c>
      <c r="H26" s="48" t="n">
        <f aca="false">SUM(H15:H25)</f>
        <v>6209097</v>
      </c>
      <c r="I26" s="46" t="n">
        <f aca="false">SUM(C26:H26)</f>
        <v>37254582</v>
      </c>
      <c r="J26" s="48" t="n">
        <f aca="false">SUM(J15:J25)</f>
        <v>39727918</v>
      </c>
      <c r="K26" s="48" t="n">
        <f aca="false">SUM(K15:K25)</f>
        <v>8765343</v>
      </c>
      <c r="L26" s="48" t="n">
        <f aca="false">SUM(L15:L25)</f>
        <v>12831397</v>
      </c>
      <c r="M26" s="48" t="n">
        <f aca="false">SUM(M15:M25)</f>
        <v>6450141</v>
      </c>
      <c r="N26" s="48" t="n">
        <f aca="false">SUM(N15:N25)</f>
        <v>4606322</v>
      </c>
      <c r="O26" s="48" t="n">
        <f aca="false">SUM(O15:O25)</f>
        <v>9362905</v>
      </c>
      <c r="P26" s="48" t="n">
        <f aca="false">SUM(P15:P25)</f>
        <v>6209097</v>
      </c>
      <c r="Q26" s="48" t="n">
        <f aca="false">SUM(Q15:Q25)</f>
        <v>6209097</v>
      </c>
      <c r="R26" s="48" t="n">
        <f aca="false">SUM(R15:R25)</f>
        <v>6209097</v>
      </c>
      <c r="S26" s="48" t="n">
        <f aca="false">SUM(S15:S25)</f>
        <v>6209097</v>
      </c>
      <c r="T26" s="48" t="n">
        <f aca="false">SUM(T15:T25)</f>
        <v>6209097</v>
      </c>
      <c r="U26" s="48" t="n">
        <f aca="false">SUM(U15:U25)</f>
        <v>6209097</v>
      </c>
      <c r="V26" s="46" t="n">
        <f aca="false">SUM(J26:U26)</f>
        <v>118998608</v>
      </c>
    </row>
    <row r="27" customFormat="false" ht="15" hidden="false" customHeight="false" outlineLevel="0" collapsed="false">
      <c r="A27" s="5" t="s">
        <v>114</v>
      </c>
      <c r="C27" s="49" t="n">
        <f aca="false">C13-C26</f>
        <v>-2408828</v>
      </c>
      <c r="D27" s="49" t="n">
        <f aca="false">D13-D26</f>
        <v>-2408828</v>
      </c>
      <c r="E27" s="49" t="n">
        <f aca="false">E13-E26</f>
        <v>-2408828</v>
      </c>
      <c r="F27" s="49" t="n">
        <f aca="false">F13-F26</f>
        <v>-2408828</v>
      </c>
      <c r="G27" s="49" t="n">
        <f aca="false">G13-G26</f>
        <v>-2408828</v>
      </c>
      <c r="H27" s="49" t="n">
        <f aca="false">H13-H26</f>
        <v>-2408828</v>
      </c>
      <c r="I27" s="46" t="n">
        <f aca="false">SUM(C27:H27)</f>
        <v>-14452968</v>
      </c>
      <c r="J27" s="49" t="n">
        <f aca="false">J13-J26</f>
        <v>-7474269</v>
      </c>
      <c r="K27" s="49" t="n">
        <f aca="false">K13-K26</f>
        <v>-4965074</v>
      </c>
      <c r="L27" s="49" t="n">
        <f aca="false">L13-L26</f>
        <v>-9031128</v>
      </c>
      <c r="M27" s="49" t="n">
        <f aca="false">M13-M26</f>
        <v>-2649872</v>
      </c>
      <c r="N27" s="49" t="n">
        <f aca="false">N13-N26</f>
        <v>-806053</v>
      </c>
      <c r="O27" s="49" t="n">
        <f aca="false">O13-O26</f>
        <v>-5562636</v>
      </c>
      <c r="P27" s="49" t="n">
        <f aca="false">P13-P26</f>
        <v>-2408828</v>
      </c>
      <c r="Q27" s="49" t="n">
        <f aca="false">Q13-Q26</f>
        <v>-2408828</v>
      </c>
      <c r="R27" s="49" t="n">
        <f aca="false">R13-R26</f>
        <v>-2408828</v>
      </c>
      <c r="S27" s="49" t="n">
        <f aca="false">S13-S26</f>
        <v>-2408828</v>
      </c>
      <c r="T27" s="49" t="n">
        <f aca="false">T13-T26</f>
        <v>-2408828</v>
      </c>
      <c r="U27" s="49" t="n">
        <f aca="false">U13-U26</f>
        <v>-2408828</v>
      </c>
      <c r="V27" s="46" t="n">
        <f aca="false">SUM(J27:U27)</f>
        <v>-44942000</v>
      </c>
    </row>
    <row r="29" customFormat="false" ht="15" hidden="false" customHeight="false" outlineLevel="0" collapsed="false">
      <c r="A29" s="3" t="s">
        <v>115</v>
      </c>
      <c r="C29" s="50" t="n">
        <f aca="false">C6+C27</f>
        <v>205530619</v>
      </c>
      <c r="D29" s="50" t="n">
        <f aca="false">D6+D27</f>
        <v>203121791</v>
      </c>
      <c r="E29" s="50" t="n">
        <f aca="false">E6+E27</f>
        <v>200712963</v>
      </c>
      <c r="F29" s="50" t="n">
        <f aca="false">F6+F27</f>
        <v>198304135</v>
      </c>
      <c r="G29" s="50" t="n">
        <f aca="false">G6+G27</f>
        <v>195895307</v>
      </c>
      <c r="H29" s="50" t="n">
        <f aca="false">H6+H27</f>
        <v>193486479</v>
      </c>
      <c r="I29" s="50" t="n">
        <f aca="false">H29</f>
        <v>193486479</v>
      </c>
      <c r="J29" s="50" t="n">
        <f aca="false">J6+J27</f>
        <v>186012210</v>
      </c>
      <c r="K29" s="50" t="n">
        <f aca="false">K6+K27</f>
        <v>181047136</v>
      </c>
      <c r="L29" s="50" t="n">
        <f aca="false">L6+L27</f>
        <v>172016008</v>
      </c>
      <c r="M29" s="50" t="n">
        <f aca="false">M6+M27</f>
        <v>169366136</v>
      </c>
      <c r="N29" s="50" t="n">
        <f aca="false">N6+N27</f>
        <v>168560083</v>
      </c>
      <c r="O29" s="50" t="n">
        <f aca="false">O6+O27</f>
        <v>162997447</v>
      </c>
      <c r="P29" s="50" t="n">
        <f aca="false">P6+P27</f>
        <v>160588619</v>
      </c>
      <c r="Q29" s="50" t="n">
        <f aca="false">Q6+Q27</f>
        <v>158179791</v>
      </c>
      <c r="R29" s="50" t="n">
        <f aca="false">R6+R27</f>
        <v>155770963</v>
      </c>
      <c r="S29" s="50" t="n">
        <f aca="false">S6+S27</f>
        <v>153362135</v>
      </c>
      <c r="T29" s="50" t="n">
        <f aca="false">T6+T27</f>
        <v>150953307</v>
      </c>
      <c r="U29" s="50" t="n">
        <f aca="false">U6+U27</f>
        <v>148544479</v>
      </c>
      <c r="V29" s="50" t="n">
        <f aca="false">U29</f>
        <v>148544479</v>
      </c>
    </row>
    <row r="31" customFormat="false" ht="15" hidden="false" customHeight="false" outlineLevel="0" collapsed="false">
      <c r="A31" s="3" t="s">
        <v>116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customFormat="false" ht="15" hidden="false" customHeight="false" outlineLevel="0" collapsed="false">
      <c r="A32" s="8" t="s">
        <v>117</v>
      </c>
      <c r="C32" s="9" t="n">
        <f aca="false">IF(((YEAR(C$4)*12+MONTH(C$4))-(YEAR(前提!$B$20)*12+MONTH(前提!$B$20)))=0,-前提!$B$27,0)</f>
        <v>0</v>
      </c>
      <c r="D32" s="9" t="n">
        <f aca="false">IF(((YEAR(D$4)*12+MONTH(D$4))-(YEAR(前提!$B$20)*12+MONTH(前提!$B$20)))=0,-前提!$B$27,0)</f>
        <v>-39625000</v>
      </c>
      <c r="E32" s="9" t="n">
        <f aca="false">IF(((YEAR(E$4)*12+MONTH(E$4))-(YEAR(前提!$B$20)*12+MONTH(前提!$B$20)))=0,-前提!$B$27,0)</f>
        <v>0</v>
      </c>
      <c r="F32" s="9" t="n">
        <f aca="false">IF(((YEAR(F$4)*12+MONTH(F$4))-(YEAR(前提!$B$20)*12+MONTH(前提!$B$20)))=0,-前提!$B$27,0)</f>
        <v>0</v>
      </c>
      <c r="G32" s="9" t="n">
        <f aca="false">IF(((YEAR(G$4)*12+MONTH(G$4))-(YEAR(前提!$B$20)*12+MONTH(前提!$B$20)))=0,-前提!$B$27,0)</f>
        <v>0</v>
      </c>
      <c r="H32" s="9" t="n">
        <f aca="false">IF(((YEAR(H$4)*12+MONTH(H$4))-(YEAR(前提!$B$20)*12+MONTH(前提!$B$20)))=0,-前提!$B$27,0)</f>
        <v>0</v>
      </c>
      <c r="I32" s="46" t="n">
        <f aca="false">SUM(C32:H32)</f>
        <v>-39625000</v>
      </c>
      <c r="J32" s="9" t="n">
        <f aca="false">IF(((YEAR(J$4)*12+MONTH(J$4))-(YEAR(前提!$B$20)*12+MONTH(前提!$B$20)))=0,-前提!$B$27,0)</f>
        <v>0</v>
      </c>
      <c r="K32" s="9" t="n">
        <f aca="false">IF(((YEAR(K$4)*12+MONTH(K$4))-(YEAR(前提!$B$20)*12+MONTH(前提!$B$20)))=0,-前提!$B$27,0)</f>
        <v>0</v>
      </c>
      <c r="L32" s="9" t="n">
        <f aca="false">IF(((YEAR(L$4)*12+MONTH(L$4))-(YEAR(前提!$B$20)*12+MONTH(前提!$B$20)))=0,-前提!$B$27,0)</f>
        <v>0</v>
      </c>
      <c r="M32" s="9" t="n">
        <f aca="false">IF(((YEAR(M$4)*12+MONTH(M$4))-(YEAR(前提!$B$20)*12+MONTH(前提!$B$20)))=0,-前提!$B$27,0)</f>
        <v>0</v>
      </c>
      <c r="N32" s="9" t="n">
        <f aca="false">IF(((YEAR(N$4)*12+MONTH(N$4))-(YEAR(前提!$B$20)*12+MONTH(前提!$B$20)))=0,-前提!$B$27,0)</f>
        <v>0</v>
      </c>
      <c r="O32" s="9" t="n">
        <f aca="false">IF(((YEAR(O$4)*12+MONTH(O$4))-(YEAR(前提!$B$20)*12+MONTH(前提!$B$20)))=0,-前提!$B$27,0)</f>
        <v>0</v>
      </c>
      <c r="P32" s="9" t="n">
        <f aca="false">IF(((YEAR(P$4)*12+MONTH(P$4))-(YEAR(前提!$B$20)*12+MONTH(前提!$B$20)))=0,-前提!$B$27,0)</f>
        <v>0</v>
      </c>
      <c r="Q32" s="9" t="n">
        <f aca="false">IF(((YEAR(Q$4)*12+MONTH(Q$4))-(YEAR(前提!$B$20)*12+MONTH(前提!$B$20)))=0,-前提!$B$27,0)</f>
        <v>0</v>
      </c>
      <c r="R32" s="9" t="n">
        <f aca="false">IF(((YEAR(R$4)*12+MONTH(R$4))-(YEAR(前提!$B$20)*12+MONTH(前提!$B$20)))=0,-前提!$B$27,0)</f>
        <v>0</v>
      </c>
      <c r="S32" s="9" t="n">
        <f aca="false">IF(((YEAR(S$4)*12+MONTH(S$4))-(YEAR(前提!$B$20)*12+MONTH(前提!$B$20)))=0,-前提!$B$27,0)</f>
        <v>0</v>
      </c>
      <c r="T32" s="9" t="n">
        <f aca="false">IF(((YEAR(T$4)*12+MONTH(T$4))-(YEAR(前提!$B$20)*12+MONTH(前提!$B$20)))=0,-前提!$B$27,0)</f>
        <v>0</v>
      </c>
      <c r="U32" s="9" t="n">
        <f aca="false">IF(((YEAR(U$4)*12+MONTH(U$4))-(YEAR(前提!$B$20)*12+MONTH(前提!$B$20)))=0,-前提!$B$27,0)</f>
        <v>0</v>
      </c>
      <c r="V32" s="46" t="n">
        <f aca="false">SUM(J32:U32)</f>
        <v>0</v>
      </c>
    </row>
    <row r="33" customFormat="false" ht="15" hidden="false" customHeight="false" outlineLevel="0" collapsed="false">
      <c r="A33" s="8" t="s">
        <v>118</v>
      </c>
      <c r="C33" s="9" t="n">
        <f aca="false">IF(AND(((YEAR(C$4)*12+MONTH(C$4))-(YEAR(前提!$B$20)*12+MONTH(前提!$B$20)))&gt;0,((YEAR(C$4)*12+MONTH(C$4))-(YEAR(前提!$B$20)*12+MONTH(前提!$B$20)))&lt;=前提!$B$24,MOD(((YEAR(C$4)*12+MONTH(C$4))-(YEAR(前提!$B$20)*12+MONTH(前提!$B$20))),12/前提!$B$22)=0),前提!$B$17*前提!$B$21/前提!$B$22*前提!$B$25*(1-前提!$B$23),0)</f>
        <v>0</v>
      </c>
      <c r="D33" s="9" t="n">
        <f aca="false">IF(AND(((YEAR(D$4)*12+MONTH(D$4))-(YEAR(前提!$B$20)*12+MONTH(前提!$B$20)))&gt;0,((YEAR(D$4)*12+MONTH(D$4))-(YEAR(前提!$B$20)*12+MONTH(前提!$B$20)))&lt;=前提!$B$24,MOD(((YEAR(D$4)*12+MONTH(D$4))-(YEAR(前提!$B$20)*12+MONTH(前提!$B$20))),12/前提!$B$22)=0),前提!$B$17*前提!$B$21/前提!$B$22*前提!$B$25*(1-前提!$B$23),0)</f>
        <v>0</v>
      </c>
      <c r="E33" s="9" t="n">
        <f aca="false">IF(AND(((YEAR(E$4)*12+MONTH(E$4))-(YEAR(前提!$B$20)*12+MONTH(前提!$B$20)))&gt;0,((YEAR(E$4)*12+MONTH(E$4))-(YEAR(前提!$B$20)*12+MONTH(前提!$B$20)))&lt;=前提!$B$24,MOD(((YEAR(E$4)*12+MONTH(E$4))-(YEAR(前提!$B$20)*12+MONTH(前提!$B$20))),12/前提!$B$22)=0),前提!$B$17*前提!$B$21/前提!$B$22*前提!$B$25*(1-前提!$B$23),0)</f>
        <v>0</v>
      </c>
      <c r="F33" s="9" t="n">
        <f aca="false">IF(AND(((YEAR(F$4)*12+MONTH(F$4))-(YEAR(前提!$B$20)*12+MONTH(前提!$B$20)))&gt;0,((YEAR(F$4)*12+MONTH(F$4))-(YEAR(前提!$B$20)*12+MONTH(前提!$B$20)))&lt;=前提!$B$24,MOD(((YEAR(F$4)*12+MONTH(F$4))-(YEAR(前提!$B$20)*12+MONTH(前提!$B$20))),12/前提!$B$22)=0),前提!$B$17*前提!$B$21/前提!$B$22*前提!$B$25*(1-前提!$B$23),0)</f>
        <v>0</v>
      </c>
      <c r="G33" s="9" t="n">
        <f aca="false">IF(AND(((YEAR(G$4)*12+MONTH(G$4))-(YEAR(前提!$B$20)*12+MONTH(前提!$B$20)))&gt;0,((YEAR(G$4)*12+MONTH(G$4))-(YEAR(前提!$B$20)*12+MONTH(前提!$B$20)))&lt;=前提!$B$24,MOD(((YEAR(G$4)*12+MONTH(G$4))-(YEAR(前提!$B$20)*12+MONTH(前提!$B$20))),12/前提!$B$22)=0),前提!$B$17*前提!$B$21/前提!$B$22*前提!$B$25*(1-前提!$B$23),0)</f>
        <v>0</v>
      </c>
      <c r="H33" s="9" t="n">
        <f aca="false">IF(AND(((YEAR(H$4)*12+MONTH(H$4))-(YEAR(前提!$B$20)*12+MONTH(前提!$B$20)))&gt;0,((YEAR(H$4)*12+MONTH(H$4))-(YEAR(前提!$B$20)*12+MONTH(前提!$B$20)))&lt;=前提!$B$24,MOD(((YEAR(H$4)*12+MONTH(H$4))-(YEAR(前提!$B$20)*12+MONTH(前提!$B$20))),12/前提!$B$22)=0),前提!$B$17*前提!$B$21/前提!$B$22*前提!$B$25*(1-前提!$B$23),0)</f>
        <v>0</v>
      </c>
      <c r="I33" s="46" t="n">
        <f aca="false">SUM(C33:H33)</f>
        <v>0</v>
      </c>
      <c r="J33" s="9" t="n">
        <f aca="false">IF(AND(((YEAR(J$4)*12+MONTH(J$4))-(YEAR(前提!$B$20)*12+MONTH(前提!$B$20)))&gt;0,((YEAR(J$4)*12+MONTH(J$4))-(YEAR(前提!$B$20)*12+MONTH(前提!$B$20)))&lt;=前提!$B$24,MOD(((YEAR(J$4)*12+MONTH(J$4))-(YEAR(前提!$B$20)*12+MONTH(前提!$B$20))),12/前提!$B$22)=0),前提!$B$17*前提!$B$21/前提!$B$22*前提!$B$25*(1-前提!$B$23),0)</f>
        <v>0</v>
      </c>
      <c r="K33" s="9" t="n">
        <f aca="false">IF(AND(((YEAR(K$4)*12+MONTH(K$4))-(YEAR(前提!$B$20)*12+MONTH(前提!$B$20)))&gt;0,((YEAR(K$4)*12+MONTH(K$4))-(YEAR(前提!$B$20)*12+MONTH(前提!$B$20)))&lt;=前提!$B$24,MOD(((YEAR(K$4)*12+MONTH(K$4))-(YEAR(前提!$B$20)*12+MONTH(前提!$B$20))),12/前提!$B$22)=0),前提!$B$17*前提!$B$21/前提!$B$22*前提!$B$25*(1-前提!$B$23),0)</f>
        <v>1170770.125</v>
      </c>
      <c r="L33" s="9" t="n">
        <f aca="false">IF(AND(((YEAR(L$4)*12+MONTH(L$4))-(YEAR(前提!$B$20)*12+MONTH(前提!$B$20)))&gt;0,((YEAR(L$4)*12+MONTH(L$4))-(YEAR(前提!$B$20)*12+MONTH(前提!$B$20)))&lt;=前提!$B$24,MOD(((YEAR(L$4)*12+MONTH(L$4))-(YEAR(前提!$B$20)*12+MONTH(前提!$B$20))),12/前提!$B$22)=0),前提!$B$17*前提!$B$21/前提!$B$22*前提!$B$25*(1-前提!$B$23),0)</f>
        <v>0</v>
      </c>
      <c r="M33" s="9" t="n">
        <f aca="false">IF(AND(((YEAR(M$4)*12+MONTH(M$4))-(YEAR(前提!$B$20)*12+MONTH(前提!$B$20)))&gt;0,((YEAR(M$4)*12+MONTH(M$4))-(YEAR(前提!$B$20)*12+MONTH(前提!$B$20)))&lt;=前提!$B$24,MOD(((YEAR(M$4)*12+MONTH(M$4))-(YEAR(前提!$B$20)*12+MONTH(前提!$B$20))),12/前提!$B$22)=0),前提!$B$17*前提!$B$21/前提!$B$22*前提!$B$25*(1-前提!$B$23),0)</f>
        <v>0</v>
      </c>
      <c r="N33" s="9" t="n">
        <f aca="false">IF(AND(((YEAR(N$4)*12+MONTH(N$4))-(YEAR(前提!$B$20)*12+MONTH(前提!$B$20)))&gt;0,((YEAR(N$4)*12+MONTH(N$4))-(YEAR(前提!$B$20)*12+MONTH(前提!$B$20)))&lt;=前提!$B$24,MOD(((YEAR(N$4)*12+MONTH(N$4))-(YEAR(前提!$B$20)*12+MONTH(前提!$B$20))),12/前提!$B$22)=0),前提!$B$17*前提!$B$21/前提!$B$22*前提!$B$25*(1-前提!$B$23),0)</f>
        <v>0</v>
      </c>
      <c r="O33" s="9" t="n">
        <f aca="false">IF(AND(((YEAR(O$4)*12+MONTH(O$4))-(YEAR(前提!$B$20)*12+MONTH(前提!$B$20)))&gt;0,((YEAR(O$4)*12+MONTH(O$4))-(YEAR(前提!$B$20)*12+MONTH(前提!$B$20)))&lt;=前提!$B$24,MOD(((YEAR(O$4)*12+MONTH(O$4))-(YEAR(前提!$B$20)*12+MONTH(前提!$B$20))),12/前提!$B$22)=0),前提!$B$17*前提!$B$21/前提!$B$22*前提!$B$25*(1-前提!$B$23),0)</f>
        <v>0</v>
      </c>
      <c r="P33" s="9" t="n">
        <f aca="false">IF(AND(((YEAR(P$4)*12+MONTH(P$4))-(YEAR(前提!$B$20)*12+MONTH(前提!$B$20)))&gt;0,((YEAR(P$4)*12+MONTH(P$4))-(YEAR(前提!$B$20)*12+MONTH(前提!$B$20)))&lt;=前提!$B$24,MOD(((YEAR(P$4)*12+MONTH(P$4))-(YEAR(前提!$B$20)*12+MONTH(前提!$B$20))),12/前提!$B$22)=0),前提!$B$17*前提!$B$21/前提!$B$22*前提!$B$25*(1-前提!$B$23),0)</f>
        <v>0</v>
      </c>
      <c r="Q33" s="9" t="n">
        <f aca="false">IF(AND(((YEAR(Q$4)*12+MONTH(Q$4))-(YEAR(前提!$B$20)*12+MONTH(前提!$B$20)))&gt;0,((YEAR(Q$4)*12+MONTH(Q$4))-(YEAR(前提!$B$20)*12+MONTH(前提!$B$20)))&lt;=前提!$B$24,MOD(((YEAR(Q$4)*12+MONTH(Q$4))-(YEAR(前提!$B$20)*12+MONTH(前提!$B$20))),12/前提!$B$22)=0),前提!$B$17*前提!$B$21/前提!$B$22*前提!$B$25*(1-前提!$B$23),0)</f>
        <v>1170770.125</v>
      </c>
      <c r="R33" s="9" t="n">
        <f aca="false">IF(AND(((YEAR(R$4)*12+MONTH(R$4))-(YEAR(前提!$B$20)*12+MONTH(前提!$B$20)))&gt;0,((YEAR(R$4)*12+MONTH(R$4))-(YEAR(前提!$B$20)*12+MONTH(前提!$B$20)))&lt;=前提!$B$24,MOD(((YEAR(R$4)*12+MONTH(R$4))-(YEAR(前提!$B$20)*12+MONTH(前提!$B$20))),12/前提!$B$22)=0),前提!$B$17*前提!$B$21/前提!$B$22*前提!$B$25*(1-前提!$B$23),0)</f>
        <v>0</v>
      </c>
      <c r="S33" s="9" t="n">
        <f aca="false">IF(AND(((YEAR(S$4)*12+MONTH(S$4))-(YEAR(前提!$B$20)*12+MONTH(前提!$B$20)))&gt;0,((YEAR(S$4)*12+MONTH(S$4))-(YEAR(前提!$B$20)*12+MONTH(前提!$B$20)))&lt;=前提!$B$24,MOD(((YEAR(S$4)*12+MONTH(S$4))-(YEAR(前提!$B$20)*12+MONTH(前提!$B$20))),12/前提!$B$22)=0),前提!$B$17*前提!$B$21/前提!$B$22*前提!$B$25*(1-前提!$B$23),0)</f>
        <v>0</v>
      </c>
      <c r="T33" s="9" t="n">
        <f aca="false">IF(AND(((YEAR(T$4)*12+MONTH(T$4))-(YEAR(前提!$B$20)*12+MONTH(前提!$B$20)))&gt;0,((YEAR(T$4)*12+MONTH(T$4))-(YEAR(前提!$B$20)*12+MONTH(前提!$B$20)))&lt;=前提!$B$24,MOD(((YEAR(T$4)*12+MONTH(T$4))-(YEAR(前提!$B$20)*12+MONTH(前提!$B$20))),12/前提!$B$22)=0),前提!$B$17*前提!$B$21/前提!$B$22*前提!$B$25*(1-前提!$B$23),0)</f>
        <v>0</v>
      </c>
      <c r="U33" s="9" t="n">
        <f aca="false">IF(AND(((YEAR(U$4)*12+MONTH(U$4))-(YEAR(前提!$B$20)*12+MONTH(前提!$B$20)))&gt;0,((YEAR(U$4)*12+MONTH(U$4))-(YEAR(前提!$B$20)*12+MONTH(前提!$B$20)))&lt;=前提!$B$24,MOD(((YEAR(U$4)*12+MONTH(U$4))-(YEAR(前提!$B$20)*12+MONTH(前提!$B$20))),12/前提!$B$22)=0),前提!$B$17*前提!$B$21/前提!$B$22*前提!$B$25*(1-前提!$B$23),0)</f>
        <v>0</v>
      </c>
      <c r="V33" s="46" t="n">
        <f aca="false">SUM(J33:U33)</f>
        <v>2341540.25</v>
      </c>
    </row>
    <row r="34" customFormat="false" ht="15" hidden="false" customHeight="false" outlineLevel="0" collapsed="false">
      <c r="A34" s="8" t="s">
        <v>119</v>
      </c>
      <c r="C34" s="9" t="n">
        <f aca="false">IF(((YEAR(C$4)*12+MONTH(C$4))-(YEAR(前提!$B$20)*12+MONTH(前提!$B$20)))=前提!$B$24,前提!$B$17*前提!$B$26,0)</f>
        <v>0</v>
      </c>
      <c r="D34" s="9" t="n">
        <f aca="false">IF(((YEAR(D$4)*12+MONTH(D$4))-(YEAR(前提!$B$20)*12+MONTH(前提!$B$20)))=前提!$B$24,前提!$B$17*前提!$B$26,0)</f>
        <v>0</v>
      </c>
      <c r="E34" s="9" t="n">
        <f aca="false">IF(((YEAR(E$4)*12+MONTH(E$4))-(YEAR(前提!$B$20)*12+MONTH(前提!$B$20)))=前提!$B$24,前提!$B$17*前提!$B$26,0)</f>
        <v>0</v>
      </c>
      <c r="F34" s="9" t="n">
        <f aca="false">IF(((YEAR(F$4)*12+MONTH(F$4))-(YEAR(前提!$B$20)*12+MONTH(前提!$B$20)))=前提!$B$24,前提!$B$17*前提!$B$26,0)</f>
        <v>0</v>
      </c>
      <c r="G34" s="9" t="n">
        <f aca="false">IF(((YEAR(G$4)*12+MONTH(G$4))-(YEAR(前提!$B$20)*12+MONTH(前提!$B$20)))=前提!$B$24,前提!$B$17*前提!$B$26,0)</f>
        <v>0</v>
      </c>
      <c r="H34" s="9" t="n">
        <f aca="false">IF(((YEAR(H$4)*12+MONTH(H$4))-(YEAR(前提!$B$20)*12+MONTH(前提!$B$20)))=前提!$B$24,前提!$B$17*前提!$B$26,0)</f>
        <v>0</v>
      </c>
      <c r="I34" s="46" t="n">
        <f aca="false">SUM(C34:H34)</f>
        <v>0</v>
      </c>
      <c r="J34" s="9" t="n">
        <f aca="false">IF(((YEAR(J$4)*12+MONTH(J$4))-(YEAR(前提!$B$20)*12+MONTH(前提!$B$20)))=前提!$B$24,前提!$B$17*前提!$B$26,0)</f>
        <v>0</v>
      </c>
      <c r="K34" s="9" t="n">
        <f aca="false">IF(((YEAR(K$4)*12+MONTH(K$4))-(YEAR(前提!$B$20)*12+MONTH(前提!$B$20)))=前提!$B$24,前提!$B$17*前提!$B$26,0)</f>
        <v>0</v>
      </c>
      <c r="L34" s="9" t="n">
        <f aca="false">IF(((YEAR(L$4)*12+MONTH(L$4))-(YEAR(前提!$B$20)*12+MONTH(前提!$B$20)))=前提!$B$24,前提!$B$17*前提!$B$26,0)</f>
        <v>0</v>
      </c>
      <c r="M34" s="9" t="n">
        <f aca="false">IF(((YEAR(M$4)*12+MONTH(M$4))-(YEAR(前提!$B$20)*12+MONTH(前提!$B$20)))=前提!$B$24,前提!$B$17*前提!$B$26,0)</f>
        <v>0</v>
      </c>
      <c r="N34" s="9" t="n">
        <f aca="false">IF(((YEAR(N$4)*12+MONTH(N$4))-(YEAR(前提!$B$20)*12+MONTH(前提!$B$20)))=前提!$B$24,前提!$B$17*前提!$B$26,0)</f>
        <v>0</v>
      </c>
      <c r="O34" s="9" t="n">
        <f aca="false">IF(((YEAR(O$4)*12+MONTH(O$4))-(YEAR(前提!$B$20)*12+MONTH(前提!$B$20)))=前提!$B$24,前提!$B$17*前提!$B$26,0)</f>
        <v>0</v>
      </c>
      <c r="P34" s="9" t="n">
        <f aca="false">IF(((YEAR(P$4)*12+MONTH(P$4))-(YEAR(前提!$B$20)*12+MONTH(前提!$B$20)))=前提!$B$24,前提!$B$17*前提!$B$26,0)</f>
        <v>0</v>
      </c>
      <c r="Q34" s="9" t="n">
        <f aca="false">IF(((YEAR(Q$4)*12+MONTH(Q$4))-(YEAR(前提!$B$20)*12+MONTH(前提!$B$20)))=前提!$B$24,前提!$B$17*前提!$B$26,0)</f>
        <v>0</v>
      </c>
      <c r="R34" s="9" t="n">
        <f aca="false">IF(((YEAR(R$4)*12+MONTH(R$4))-(YEAR(前提!$B$20)*12+MONTH(前提!$B$20)))=前提!$B$24,前提!$B$17*前提!$B$26,0)</f>
        <v>0</v>
      </c>
      <c r="S34" s="9" t="n">
        <f aca="false">IF(((YEAR(S$4)*12+MONTH(S$4))-(YEAR(前提!$B$20)*12+MONTH(前提!$B$20)))=前提!$B$24,前提!$B$17*前提!$B$26,0)</f>
        <v>0</v>
      </c>
      <c r="T34" s="9" t="n">
        <f aca="false">IF(((YEAR(T$4)*12+MONTH(T$4))-(YEAR(前提!$B$20)*12+MONTH(前提!$B$20)))=前提!$B$24,前提!$B$17*前提!$B$26,0)</f>
        <v>0</v>
      </c>
      <c r="U34" s="9" t="n">
        <f aca="false">IF(((YEAR(U$4)*12+MONTH(U$4))-(YEAR(前提!$B$20)*12+MONTH(前提!$B$20)))=前提!$B$24,前提!$B$17*前提!$B$26,0)</f>
        <v>0</v>
      </c>
      <c r="V34" s="46" t="n">
        <f aca="false">SUM(J34:U34)</f>
        <v>0</v>
      </c>
    </row>
    <row r="35" customFormat="false" ht="15" hidden="false" customHeight="false" outlineLevel="0" collapsed="false">
      <c r="A35" s="40" t="s">
        <v>120</v>
      </c>
      <c r="C35" s="48" t="n">
        <f aca="false">SUM(C32:C34)</f>
        <v>0</v>
      </c>
      <c r="D35" s="48" t="n">
        <f aca="false">SUM(D32:D34)</f>
        <v>-39625000</v>
      </c>
      <c r="E35" s="48" t="n">
        <f aca="false">SUM(E32:E34)</f>
        <v>0</v>
      </c>
      <c r="F35" s="48" t="n">
        <f aca="false">SUM(F32:F34)</f>
        <v>0</v>
      </c>
      <c r="G35" s="48" t="n">
        <f aca="false">SUM(G32:G34)</f>
        <v>0</v>
      </c>
      <c r="H35" s="48" t="n">
        <f aca="false">SUM(H32:H34)</f>
        <v>0</v>
      </c>
      <c r="I35" s="46" t="n">
        <f aca="false">SUM(C35:H35)</f>
        <v>-39625000</v>
      </c>
      <c r="J35" s="48" t="n">
        <f aca="false">SUM(J32:J34)</f>
        <v>0</v>
      </c>
      <c r="K35" s="48" t="n">
        <f aca="false">SUM(K32:K34)</f>
        <v>1170770.125</v>
      </c>
      <c r="L35" s="48" t="n">
        <f aca="false">SUM(L32:L34)</f>
        <v>0</v>
      </c>
      <c r="M35" s="48" t="n">
        <f aca="false">SUM(M32:M34)</f>
        <v>0</v>
      </c>
      <c r="N35" s="48" t="n">
        <f aca="false">SUM(N32:N34)</f>
        <v>0</v>
      </c>
      <c r="O35" s="48" t="n">
        <f aca="false">SUM(O32:O34)</f>
        <v>0</v>
      </c>
      <c r="P35" s="48" t="n">
        <f aca="false">SUM(P32:P34)</f>
        <v>0</v>
      </c>
      <c r="Q35" s="48" t="n">
        <f aca="false">SUM(Q32:Q34)</f>
        <v>1170770.125</v>
      </c>
      <c r="R35" s="48" t="n">
        <f aca="false">SUM(R32:R34)</f>
        <v>0</v>
      </c>
      <c r="S35" s="48" t="n">
        <f aca="false">SUM(S32:S34)</f>
        <v>0</v>
      </c>
      <c r="T35" s="48" t="n">
        <f aca="false">SUM(T32:T34)</f>
        <v>0</v>
      </c>
      <c r="U35" s="48" t="n">
        <f aca="false">SUM(U32:U34)</f>
        <v>0</v>
      </c>
      <c r="V35" s="46" t="n">
        <f aca="false">SUM(J35:U35)</f>
        <v>2341540.25</v>
      </c>
    </row>
    <row r="36" customFormat="false" ht="15" hidden="false" customHeight="false" outlineLevel="0" collapsed="false">
      <c r="A36" s="8" t="s">
        <v>121</v>
      </c>
      <c r="C36" s="10" t="n">
        <f aca="false">C35</f>
        <v>0</v>
      </c>
      <c r="D36" s="10" t="n">
        <f aca="false">C36+D35</f>
        <v>-39625000</v>
      </c>
      <c r="E36" s="10" t="n">
        <f aca="false">D36+E35</f>
        <v>-39625000</v>
      </c>
      <c r="F36" s="10" t="n">
        <f aca="false">E36+F35</f>
        <v>-39625000</v>
      </c>
      <c r="G36" s="10" t="n">
        <f aca="false">F36+G35</f>
        <v>-39625000</v>
      </c>
      <c r="H36" s="10" t="n">
        <f aca="false">G36+H35</f>
        <v>-39625000</v>
      </c>
      <c r="I36" s="46" t="n">
        <f aca="false">H36</f>
        <v>-39625000</v>
      </c>
      <c r="J36" s="10" t="n">
        <f aca="false">H36+J35</f>
        <v>-39625000</v>
      </c>
      <c r="K36" s="10" t="n">
        <f aca="false">J36+K35</f>
        <v>-38454229.875</v>
      </c>
      <c r="L36" s="10" t="n">
        <f aca="false">K36+L35</f>
        <v>-38454229.875</v>
      </c>
      <c r="M36" s="10" t="n">
        <f aca="false">L36+M35</f>
        <v>-38454229.875</v>
      </c>
      <c r="N36" s="10" t="n">
        <f aca="false">M36+N35</f>
        <v>-38454229.875</v>
      </c>
      <c r="O36" s="10" t="n">
        <f aca="false">N36+O35</f>
        <v>-38454229.875</v>
      </c>
      <c r="P36" s="10" t="n">
        <f aca="false">O36+P35</f>
        <v>-38454229.875</v>
      </c>
      <c r="Q36" s="10" t="n">
        <f aca="false">P36+Q35</f>
        <v>-37283459.75</v>
      </c>
      <c r="R36" s="10" t="n">
        <f aca="false">Q36+R35</f>
        <v>-37283459.75</v>
      </c>
      <c r="S36" s="10" t="n">
        <f aca="false">R36+S35</f>
        <v>-37283459.75</v>
      </c>
      <c r="T36" s="10" t="n">
        <f aca="false">S36+T35</f>
        <v>-37283459.75</v>
      </c>
      <c r="U36" s="10" t="n">
        <f aca="false">T36+U35</f>
        <v>-37283459.75</v>
      </c>
      <c r="V36" s="46" t="n">
        <f aca="false">U36</f>
        <v>-37283459.75</v>
      </c>
    </row>
    <row r="37" customFormat="false" ht="15" hidden="false" customHeight="false" outlineLevel="0" collapsed="false">
      <c r="A37" s="3" t="s">
        <v>122</v>
      </c>
      <c r="C37" s="50" t="n">
        <f aca="false">C29+C36</f>
        <v>205530619</v>
      </c>
      <c r="D37" s="50" t="n">
        <f aca="false">D29+D36</f>
        <v>163496791</v>
      </c>
      <c r="E37" s="50" t="n">
        <f aca="false">E29+E36</f>
        <v>161087963</v>
      </c>
      <c r="F37" s="50" t="n">
        <f aca="false">F29+F36</f>
        <v>158679135</v>
      </c>
      <c r="G37" s="50" t="n">
        <f aca="false">G29+G36</f>
        <v>156270307</v>
      </c>
      <c r="H37" s="50" t="n">
        <f aca="false">H29+H36</f>
        <v>153861479</v>
      </c>
      <c r="I37" s="50" t="n">
        <f aca="false">H37</f>
        <v>153861479</v>
      </c>
      <c r="J37" s="50" t="n">
        <f aca="false">J29+J36</f>
        <v>146387210</v>
      </c>
      <c r="K37" s="50" t="n">
        <f aca="false">K29+K36</f>
        <v>142592906.125</v>
      </c>
      <c r="L37" s="50" t="n">
        <f aca="false">L29+L36</f>
        <v>133561778.125</v>
      </c>
      <c r="M37" s="50" t="n">
        <f aca="false">M29+M36</f>
        <v>130911906.125</v>
      </c>
      <c r="N37" s="50" t="n">
        <f aca="false">N29+N36</f>
        <v>130105853.125</v>
      </c>
      <c r="O37" s="50" t="n">
        <f aca="false">O29+O36</f>
        <v>124543217.125</v>
      </c>
      <c r="P37" s="50" t="n">
        <f aca="false">P29+P36</f>
        <v>122134389.125</v>
      </c>
      <c r="Q37" s="50" t="n">
        <f aca="false">Q29+Q36</f>
        <v>120896331.25</v>
      </c>
      <c r="R37" s="50" t="n">
        <f aca="false">R29+R36</f>
        <v>118487503.25</v>
      </c>
      <c r="S37" s="50" t="n">
        <f aca="false">S29+S36</f>
        <v>116078675.25</v>
      </c>
      <c r="T37" s="50" t="n">
        <f aca="false">T29+T36</f>
        <v>113669847.25</v>
      </c>
      <c r="U37" s="50" t="n">
        <f aca="false">U29+U36</f>
        <v>111261019.25</v>
      </c>
      <c r="V37" s="50" t="n">
        <f aca="false">U37</f>
        <v>111261019.25</v>
      </c>
    </row>
    <row r="38" customFormat="false" ht="15" hidden="false" customHeight="false" outlineLevel="0" collapsed="false">
      <c r="A38" s="8" t="s">
        <v>123</v>
      </c>
      <c r="C38" s="10" t="n">
        <f aca="false">C37-C29</f>
        <v>0</v>
      </c>
      <c r="D38" s="10" t="n">
        <f aca="false">D37-D29</f>
        <v>-39625000</v>
      </c>
      <c r="E38" s="10" t="n">
        <f aca="false">E37-E29</f>
        <v>-39625000</v>
      </c>
      <c r="F38" s="10" t="n">
        <f aca="false">F37-F29</f>
        <v>-39625000</v>
      </c>
      <c r="G38" s="10" t="n">
        <f aca="false">G37-G29</f>
        <v>-39625000</v>
      </c>
      <c r="H38" s="10" t="n">
        <f aca="false">H37-H29</f>
        <v>-39625000</v>
      </c>
      <c r="I38" s="10" t="n">
        <f aca="false">I37-I29</f>
        <v>-39625000</v>
      </c>
      <c r="J38" s="10" t="n">
        <f aca="false">J37-J29</f>
        <v>-39625000</v>
      </c>
      <c r="K38" s="10" t="n">
        <f aca="false">K37-K29</f>
        <v>-38454229.875</v>
      </c>
      <c r="L38" s="10" t="n">
        <f aca="false">L37-L29</f>
        <v>-38454229.875</v>
      </c>
      <c r="M38" s="10" t="n">
        <f aca="false">M37-M29</f>
        <v>-38454229.875</v>
      </c>
      <c r="N38" s="10" t="n">
        <f aca="false">N37-N29</f>
        <v>-38454229.875</v>
      </c>
      <c r="O38" s="10" t="n">
        <f aca="false">O37-O29</f>
        <v>-38454229.875</v>
      </c>
      <c r="P38" s="10" t="n">
        <f aca="false">P37-P29</f>
        <v>-38454229.875</v>
      </c>
      <c r="Q38" s="10" t="n">
        <f aca="false">Q37-Q29</f>
        <v>-37283459.75</v>
      </c>
      <c r="R38" s="10" t="n">
        <f aca="false">R37-R29</f>
        <v>-37283459.75</v>
      </c>
      <c r="S38" s="10" t="n">
        <f aca="false">S37-S29</f>
        <v>-37283459.75</v>
      </c>
      <c r="T38" s="10" t="n">
        <f aca="false">T37-T29</f>
        <v>-37283459.75</v>
      </c>
      <c r="U38" s="10" t="n">
        <f aca="false">U37-U29</f>
        <v>-37283459.75</v>
      </c>
      <c r="V38" s="10" t="n">
        <f aca="false">V37-V29</f>
        <v>-37283459.75</v>
      </c>
    </row>
    <row r="40" customFormat="false" ht="15" hidden="false" customHeight="false" outlineLevel="0" collapsed="false">
      <c r="A40" s="2" t="s">
        <v>124</v>
      </c>
    </row>
    <row r="41" customFormat="false" ht="15" hidden="false" customHeight="false" outlineLevel="0" collapsed="false">
      <c r="A41" s="2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6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17" t="s">
        <v>126</v>
      </c>
    </row>
    <row r="2" customFormat="false" ht="15" hidden="false" customHeight="false" outlineLevel="0" collapsed="false">
      <c r="A2" s="2" t="s">
        <v>127</v>
      </c>
    </row>
    <row r="4" customFormat="false" ht="31.5" hidden="false" customHeight="true" outlineLevel="0" collapsed="false">
      <c r="A4" s="44" t="s">
        <v>128</v>
      </c>
      <c r="B4" s="44" t="s">
        <v>129</v>
      </c>
      <c r="C4" s="44" t="s">
        <v>130</v>
      </c>
      <c r="D4" s="44" t="s">
        <v>131</v>
      </c>
      <c r="E4" s="44" t="s">
        <v>132</v>
      </c>
      <c r="F4" s="44" t="s">
        <v>133</v>
      </c>
      <c r="G4" s="44" t="s">
        <v>134</v>
      </c>
      <c r="H4" s="44" t="s">
        <v>135</v>
      </c>
    </row>
    <row r="5" customFormat="false" ht="26.85" hidden="false" customHeight="false" outlineLevel="0" collapsed="false">
      <c r="A5" s="8" t="s">
        <v>88</v>
      </c>
      <c r="B5" s="51" t="n">
        <v>24221849</v>
      </c>
      <c r="C5" s="21" t="n">
        <f aca="false">実績!H14</f>
        <v>24617595</v>
      </c>
      <c r="D5" s="27" t="n">
        <f aca="false">C5-B5</f>
        <v>395746</v>
      </c>
      <c r="E5" s="52" t="n">
        <f aca="false">IF(B5=0,"-",D5/B5)</f>
        <v>0.0163383893607792</v>
      </c>
      <c r="F5" s="53" t="n">
        <f aca="false">C5/C$24</f>
        <v>0.312492248813118</v>
      </c>
      <c r="G5" s="27" t="n">
        <f aca="false">C5/6</f>
        <v>4102932.5</v>
      </c>
      <c r="H5" s="22" t="s">
        <v>136</v>
      </c>
    </row>
    <row r="6" customFormat="false" ht="15" hidden="false" customHeight="false" outlineLevel="0" collapsed="false">
      <c r="A6" s="8" t="s">
        <v>86</v>
      </c>
      <c r="B6" s="51" t="n">
        <v>12300000</v>
      </c>
      <c r="C6" s="21" t="n">
        <f aca="false">実績!H9</f>
        <v>12300000</v>
      </c>
      <c r="D6" s="27" t="n">
        <f aca="false">C6-B6</f>
        <v>0</v>
      </c>
      <c r="E6" s="52" t="n">
        <f aca="false">IF(B6=0,"-",D6/B6)</f>
        <v>0</v>
      </c>
      <c r="F6" s="53" t="n">
        <f aca="false">C6/C$24</f>
        <v>0.156134450193098</v>
      </c>
      <c r="G6" s="27" t="n">
        <f aca="false">C6/6</f>
        <v>2050000</v>
      </c>
      <c r="H6" s="22" t="s">
        <v>137</v>
      </c>
    </row>
    <row r="7" customFormat="false" ht="15" hidden="false" customHeight="false" outlineLevel="0" collapsed="false">
      <c r="A7" s="8" t="s">
        <v>138</v>
      </c>
      <c r="B7" s="51" t="n">
        <v>8183556</v>
      </c>
      <c r="C7" s="21" t="n">
        <f aca="false">実績!H18</f>
        <v>9044839</v>
      </c>
      <c r="D7" s="27" t="n">
        <f aca="false">C7-B7</f>
        <v>861283</v>
      </c>
      <c r="E7" s="52" t="n">
        <f aca="false">IF(B7=0,"-",D7/B7)</f>
        <v>0.105245568063566</v>
      </c>
      <c r="F7" s="53" t="n">
        <f aca="false">C7/C$24</f>
        <v>0.114813899540658</v>
      </c>
      <c r="G7" s="27" t="n">
        <f aca="false">C7/6</f>
        <v>1507473.16666667</v>
      </c>
      <c r="H7" s="22" t="s">
        <v>139</v>
      </c>
    </row>
    <row r="8" customFormat="false" ht="15" hidden="false" customHeight="false" outlineLevel="0" collapsed="false">
      <c r="A8" s="8" t="s">
        <v>89</v>
      </c>
      <c r="B8" s="51" t="n">
        <v>7581824</v>
      </c>
      <c r="C8" s="21" t="n">
        <f aca="false">実績!H15</f>
        <v>7291552</v>
      </c>
      <c r="D8" s="27" t="n">
        <f aca="false">C8-B8</f>
        <v>-290272</v>
      </c>
      <c r="E8" s="52" t="n">
        <f aca="false">IF(B8=0,"-",D8/B8)</f>
        <v>-0.0382852463998109</v>
      </c>
      <c r="F8" s="53" t="n">
        <f aca="false">C8/C$24</f>
        <v>0.0925579237865351</v>
      </c>
      <c r="G8" s="27" t="n">
        <f aca="false">C8/6</f>
        <v>1215258.66666667</v>
      </c>
      <c r="H8" s="20" t="s">
        <v>140</v>
      </c>
    </row>
    <row r="9" customFormat="false" ht="15" hidden="false" customHeight="false" outlineLevel="0" collapsed="false">
      <c r="A9" s="8" t="s">
        <v>141</v>
      </c>
      <c r="B9" s="51" t="n">
        <v>7872787</v>
      </c>
      <c r="C9" s="21" t="n">
        <f aca="false">実績!H10</f>
        <v>6215372</v>
      </c>
      <c r="D9" s="27" t="n">
        <f aca="false">C9-B9</f>
        <v>-1657415</v>
      </c>
      <c r="E9" s="52" t="n">
        <f aca="false">IF(B9=0,"-",D9/B9)</f>
        <v>-0.210524557567733</v>
      </c>
      <c r="F9" s="53" t="n">
        <f aca="false">C9/C$24</f>
        <v>0.0788970479646808</v>
      </c>
      <c r="G9" s="27" t="n">
        <f aca="false">C9/6</f>
        <v>1035895.33333333</v>
      </c>
      <c r="H9" s="22" t="s">
        <v>142</v>
      </c>
    </row>
    <row r="10" customFormat="false" ht="15" hidden="false" customHeight="false" outlineLevel="0" collapsed="false">
      <c r="A10" s="8" t="s">
        <v>143</v>
      </c>
      <c r="B10" s="51" t="n">
        <v>3816552</v>
      </c>
      <c r="C10" s="21" t="n">
        <f aca="false">実績!H13</f>
        <v>4820303</v>
      </c>
      <c r="D10" s="27" t="n">
        <f aca="false">C10-B10</f>
        <v>1003751</v>
      </c>
      <c r="E10" s="52" t="n">
        <f aca="false">IF(B10=0,"-",D10/B10)</f>
        <v>0.262999429851866</v>
      </c>
      <c r="F10" s="53" t="n">
        <f aca="false">C10/C$24</f>
        <v>0.0611882405422065</v>
      </c>
      <c r="G10" s="27" t="n">
        <f aca="false">C10/6</f>
        <v>803383.833333333</v>
      </c>
      <c r="H10" s="22" t="s">
        <v>144</v>
      </c>
    </row>
    <row r="11" customFormat="false" ht="15" hidden="false" customHeight="false" outlineLevel="0" collapsed="false">
      <c r="A11" s="8" t="s">
        <v>145</v>
      </c>
      <c r="B11" s="51" t="n">
        <v>3555319</v>
      </c>
      <c r="C11" s="21" t="n">
        <f aca="false">実績!H17</f>
        <v>3566993</v>
      </c>
      <c r="D11" s="27" t="n">
        <f aca="false">C11-B11</f>
        <v>11674</v>
      </c>
      <c r="E11" s="52" t="n">
        <f aca="false">IF(B11=0,"-",D11/B11)</f>
        <v>0.00328353095741901</v>
      </c>
      <c r="F11" s="53" t="n">
        <f aca="false">C11/C$24</f>
        <v>0.0452789016989942</v>
      </c>
      <c r="G11" s="27" t="n">
        <f aca="false">C11/6</f>
        <v>594498.833333333</v>
      </c>
      <c r="H11" s="20"/>
    </row>
    <row r="12" customFormat="false" ht="15" hidden="false" customHeight="false" outlineLevel="0" collapsed="false">
      <c r="A12" s="8" t="s">
        <v>146</v>
      </c>
      <c r="B12" s="51" t="n">
        <v>2249822</v>
      </c>
      <c r="C12" s="21" t="n">
        <f aca="false">実績!H16</f>
        <v>2288413</v>
      </c>
      <c r="D12" s="27" t="n">
        <f aca="false">C12-B12</f>
        <v>38591</v>
      </c>
      <c r="E12" s="52" t="n">
        <f aca="false">IF(B12=0,"-",D12/B12)</f>
        <v>0.0171529125415255</v>
      </c>
      <c r="F12" s="53" t="n">
        <f aca="false">C12/C$24</f>
        <v>0.0290487890707104</v>
      </c>
      <c r="G12" s="27" t="n">
        <f aca="false">C12/6</f>
        <v>381402.166666667</v>
      </c>
      <c r="H12" s="20"/>
    </row>
    <row r="13" customFormat="false" ht="15" hidden="false" customHeight="false" outlineLevel="0" collapsed="false">
      <c r="A13" s="8" t="s">
        <v>147</v>
      </c>
      <c r="B13" s="51" t="n">
        <v>1627291</v>
      </c>
      <c r="C13" s="21" t="n">
        <f aca="false">実績!H19</f>
        <v>1907019</v>
      </c>
      <c r="D13" s="27" t="n">
        <f aca="false">C13-B13</f>
        <v>279728</v>
      </c>
      <c r="E13" s="52" t="n">
        <f aca="false">IF(B13=0,"-",D13/B13)</f>
        <v>0.171897958017343</v>
      </c>
      <c r="F13" s="53" t="n">
        <f aca="false">C13/C$24</f>
        <v>0.0242074278920968</v>
      </c>
      <c r="G13" s="27" t="n">
        <f aca="false">C13/6</f>
        <v>317836.5</v>
      </c>
      <c r="H13" s="20"/>
    </row>
    <row r="14" customFormat="false" ht="15" hidden="false" customHeight="false" outlineLevel="0" collapsed="false">
      <c r="A14" s="8" t="s">
        <v>148</v>
      </c>
      <c r="B14" s="51" t="n">
        <v>1607693</v>
      </c>
      <c r="C14" s="21" t="n">
        <f aca="false">実績!H12</f>
        <v>1703283</v>
      </c>
      <c r="D14" s="27" t="n">
        <f aca="false">C14-B14</f>
        <v>95590</v>
      </c>
      <c r="E14" s="52" t="n">
        <f aca="false">IF(B14=0,"-",D14/B14)</f>
        <v>0.059457869132975</v>
      </c>
      <c r="F14" s="53" t="n">
        <f aca="false">C14/C$24</f>
        <v>0.0216212320917276</v>
      </c>
      <c r="G14" s="27" t="n">
        <f aca="false">C14/6</f>
        <v>283880.5</v>
      </c>
      <c r="H14" s="20"/>
    </row>
    <row r="15" customFormat="false" ht="15" hidden="false" customHeight="false" outlineLevel="0" collapsed="false">
      <c r="A15" s="8" t="s">
        <v>149</v>
      </c>
      <c r="B15" s="51" t="n">
        <v>2638934</v>
      </c>
      <c r="C15" s="21" t="n">
        <f aca="false">実績!H23</f>
        <v>1722251</v>
      </c>
      <c r="D15" s="27" t="n">
        <f aca="false">C15-B15</f>
        <v>-916683</v>
      </c>
      <c r="E15" s="52" t="n">
        <f aca="false">IF(B15=0,"-",D15/B15)</f>
        <v>-0.347368672350275</v>
      </c>
      <c r="F15" s="53" t="n">
        <f aca="false">C15/C$24</f>
        <v>0.0218620091853262</v>
      </c>
      <c r="G15" s="27" t="n">
        <f aca="false">C15/6</f>
        <v>287041.833333333</v>
      </c>
      <c r="H15" s="22" t="s">
        <v>150</v>
      </c>
    </row>
    <row r="16" customFormat="false" ht="15" hidden="false" customHeight="false" outlineLevel="0" collapsed="false">
      <c r="A16" s="8" t="s">
        <v>151</v>
      </c>
      <c r="B16" s="51" t="n">
        <v>1409060</v>
      </c>
      <c r="C16" s="21" t="n">
        <f aca="false">実績!H24</f>
        <v>1321156</v>
      </c>
      <c r="D16" s="27" t="n">
        <f aca="false">C16-B16</f>
        <v>-87904</v>
      </c>
      <c r="E16" s="52" t="n">
        <f aca="false">IF(B16=0,"-",D16/B16)</f>
        <v>-0.0623848523128894</v>
      </c>
      <c r="F16" s="53" t="n">
        <f aca="false">C16/C$24</f>
        <v>0.0167705663153912</v>
      </c>
      <c r="G16" s="27" t="n">
        <f aca="false">C16/6</f>
        <v>220192.666666667</v>
      </c>
      <c r="H16" s="20"/>
    </row>
    <row r="17" customFormat="false" ht="15" hidden="false" customHeight="false" outlineLevel="0" collapsed="false">
      <c r="A17" s="8" t="s">
        <v>152</v>
      </c>
      <c r="B17" s="51" t="n">
        <v>650000</v>
      </c>
      <c r="C17" s="21" t="n">
        <f aca="false">実績!H11</f>
        <v>650000</v>
      </c>
      <c r="D17" s="27" t="n">
        <f aca="false">C17-B17</f>
        <v>0</v>
      </c>
      <c r="E17" s="52" t="n">
        <f aca="false">IF(B17=0,"-",D17/B17)</f>
        <v>0</v>
      </c>
      <c r="F17" s="53" t="n">
        <f aca="false">C17/C$24</f>
        <v>0.00825100753052955</v>
      </c>
      <c r="G17" s="27" t="n">
        <f aca="false">C17/6</f>
        <v>108333.333333333</v>
      </c>
      <c r="H17" s="20"/>
    </row>
    <row r="18" customFormat="false" ht="15" hidden="false" customHeight="false" outlineLevel="0" collapsed="false">
      <c r="A18" s="8" t="s">
        <v>153</v>
      </c>
      <c r="B18" s="51" t="n">
        <v>343045</v>
      </c>
      <c r="C18" s="21" t="n">
        <f aca="false">実績!H22</f>
        <v>629407</v>
      </c>
      <c r="D18" s="27" t="n">
        <f aca="false">C18-B18</f>
        <v>286362</v>
      </c>
      <c r="E18" s="52" t="n">
        <f aca="false">IF(B18=0,"-",D18/B18)</f>
        <v>0.834765118278943</v>
      </c>
      <c r="F18" s="53" t="n">
        <f aca="false">C18/C$24</f>
        <v>0.00798960291810464</v>
      </c>
      <c r="G18" s="27" t="n">
        <f aca="false">C18/6</f>
        <v>104901.166666667</v>
      </c>
      <c r="H18" s="20" t="s">
        <v>154</v>
      </c>
    </row>
    <row r="19" customFormat="false" ht="15" hidden="false" customHeight="false" outlineLevel="0" collapsed="false">
      <c r="A19" s="8" t="s">
        <v>155</v>
      </c>
      <c r="B19" s="51" t="n">
        <v>754212</v>
      </c>
      <c r="C19" s="21" t="n">
        <f aca="false">実績!H20</f>
        <v>413029</v>
      </c>
      <c r="D19" s="27" t="n">
        <f aca="false">C19-B19</f>
        <v>-341183</v>
      </c>
      <c r="E19" s="52" t="n">
        <f aca="false">IF(B19=0,"-",D19/B19)</f>
        <v>-0.452370155871294</v>
      </c>
      <c r="F19" s="53" t="n">
        <f aca="false">C19/C$24</f>
        <v>0.00524293136819553</v>
      </c>
      <c r="G19" s="27" t="n">
        <f aca="false">C19/6</f>
        <v>68838.1666666667</v>
      </c>
      <c r="H19" s="20"/>
    </row>
    <row r="20" customFormat="false" ht="15" hidden="false" customHeight="false" outlineLevel="0" collapsed="false">
      <c r="A20" s="8" t="s">
        <v>156</v>
      </c>
      <c r="B20" s="51" t="n">
        <v>84896</v>
      </c>
      <c r="C20" s="21" t="n">
        <f aca="false">実績!H21</f>
        <v>218496</v>
      </c>
      <c r="D20" s="27" t="n">
        <f aca="false">C20-B20</f>
        <v>133600</v>
      </c>
      <c r="E20" s="52" t="n">
        <f aca="false">IF(B20=0,"-",D20/B20)</f>
        <v>1.57369016208066</v>
      </c>
      <c r="F20" s="53" t="n">
        <f aca="false">C20/C$24</f>
        <v>0.0027735571406009</v>
      </c>
      <c r="G20" s="27" t="n">
        <f aca="false">C20/6</f>
        <v>36416</v>
      </c>
      <c r="H20" s="20"/>
    </row>
    <row r="21" customFormat="false" ht="15" hidden="false" customHeight="false" outlineLevel="0" collapsed="false">
      <c r="A21" s="8" t="s">
        <v>157</v>
      </c>
      <c r="B21" s="51" t="n">
        <v>154500</v>
      </c>
      <c r="C21" s="21" t="n">
        <f aca="false">実績!H25</f>
        <v>38250</v>
      </c>
      <c r="D21" s="27" t="n">
        <f aca="false">C21-B21</f>
        <v>-116250</v>
      </c>
      <c r="E21" s="52" t="n">
        <f aca="false">IF(B21=0,"-",D21/B21)</f>
        <v>-0.752427184466019</v>
      </c>
      <c r="F21" s="53" t="n">
        <f aca="false">C21/C$24</f>
        <v>0.000485540058527316</v>
      </c>
      <c r="G21" s="27" t="n">
        <f aca="false">C21/6</f>
        <v>6375</v>
      </c>
      <c r="H21" s="20"/>
    </row>
    <row r="22" customFormat="false" ht="15" hidden="false" customHeight="false" outlineLevel="0" collapsed="false">
      <c r="A22" s="8" t="s">
        <v>158</v>
      </c>
      <c r="B22" s="51" t="n">
        <v>1000</v>
      </c>
      <c r="C22" s="21" t="n">
        <f aca="false">実績!H26</f>
        <v>20300</v>
      </c>
      <c r="D22" s="27" t="n">
        <f aca="false">C22-B22</f>
        <v>19300</v>
      </c>
      <c r="E22" s="52" t="n">
        <f aca="false">IF(B22=0,"-",D22/B22)</f>
        <v>19.3</v>
      </c>
      <c r="F22" s="53" t="n">
        <f aca="false">C22/C$24</f>
        <v>0.000257685312107308</v>
      </c>
      <c r="G22" s="27" t="n">
        <f aca="false">C22/6</f>
        <v>3383.33333333333</v>
      </c>
      <c r="H22" s="20"/>
    </row>
    <row r="23" customFormat="false" ht="15" hidden="false" customHeight="false" outlineLevel="0" collapsed="false">
      <c r="A23" s="8" t="s">
        <v>159</v>
      </c>
      <c r="B23" s="51" t="n">
        <v>30000</v>
      </c>
      <c r="C23" s="21" t="n">
        <f aca="false">実績!H27</f>
        <v>10000</v>
      </c>
      <c r="D23" s="27" t="n">
        <f aca="false">C23-B23</f>
        <v>-20000</v>
      </c>
      <c r="E23" s="52" t="n">
        <f aca="false">IF(B23=0,"-",D23/B23)</f>
        <v>-0.666666666666667</v>
      </c>
      <c r="F23" s="53" t="n">
        <f aca="false">C23/C$24</f>
        <v>0.000126938577392762</v>
      </c>
      <c r="G23" s="27" t="n">
        <f aca="false">C23/6</f>
        <v>1666.66666666667</v>
      </c>
      <c r="H23" s="20"/>
    </row>
    <row r="24" customFormat="false" ht="15" hidden="false" customHeight="false" outlineLevel="0" collapsed="false">
      <c r="A24" s="40" t="s">
        <v>160</v>
      </c>
      <c r="B24" s="41" t="n">
        <f aca="false">SUM(B5:B23)</f>
        <v>79082340</v>
      </c>
      <c r="C24" s="41" t="n">
        <f aca="false">SUM(C5:C23)</f>
        <v>78778258</v>
      </c>
      <c r="D24" s="41" t="n">
        <f aca="false">SUM(D5:D23)</f>
        <v>-304082</v>
      </c>
      <c r="E24" s="54" t="n">
        <f aca="false">D24/B24</f>
        <v>-0.00384513154264277</v>
      </c>
      <c r="F24" s="55" t="n">
        <f aca="false">SUM(F5:F23)</f>
        <v>1</v>
      </c>
      <c r="G24" s="41" t="n">
        <f aca="false">SUM(G5:G23)</f>
        <v>13129709.6666667</v>
      </c>
    </row>
    <row r="25" customFormat="false" ht="15" hidden="false" customHeight="false" outlineLevel="0" collapsed="false">
      <c r="A25" s="8" t="s">
        <v>161</v>
      </c>
      <c r="B25" s="51" t="n">
        <v>2057517</v>
      </c>
      <c r="C25" s="21" t="n">
        <f aca="false">実績!H28</f>
        <v>1668000</v>
      </c>
    </row>
    <row r="27" customFormat="false" ht="15" hidden="false" customHeight="false" outlineLevel="0" collapsed="false">
      <c r="A27" s="56" t="s">
        <v>162</v>
      </c>
    </row>
    <row r="28" customFormat="false" ht="26.85" hidden="false" customHeight="false" outlineLevel="0" collapsed="false">
      <c r="A28" s="44" t="s">
        <v>163</v>
      </c>
      <c r="B28" s="44" t="s">
        <v>164</v>
      </c>
      <c r="C28" s="44" t="s">
        <v>165</v>
      </c>
      <c r="D28" s="44" t="s">
        <v>166</v>
      </c>
      <c r="E28" s="57" t="s">
        <v>167</v>
      </c>
    </row>
    <row r="29" customFormat="false" ht="15" hidden="false" customHeight="false" outlineLevel="0" collapsed="false">
      <c r="A29" s="8" t="s">
        <v>86</v>
      </c>
      <c r="B29" s="21" t="n">
        <f aca="false">SUM(前提!C32:H32)</f>
        <v>12300000</v>
      </c>
      <c r="C29" s="21" t="n">
        <f aca="false">SUM(前提!I32:N32)</f>
        <v>5400000</v>
      </c>
      <c r="D29" s="27" t="n">
        <f aca="false">B29+C29</f>
        <v>17700000</v>
      </c>
      <c r="E29" s="24" t="s">
        <v>168</v>
      </c>
    </row>
    <row r="30" customFormat="false" ht="15" hidden="false" customHeight="false" outlineLevel="0" collapsed="false">
      <c r="A30" s="8" t="s">
        <v>87</v>
      </c>
      <c r="B30" s="21" t="n">
        <f aca="false">SUM(前提!C33:H33)</f>
        <v>13388958</v>
      </c>
      <c r="C30" s="21" t="n">
        <f aca="false">SUM(前提!I33:N33)</f>
        <v>6636324</v>
      </c>
      <c r="D30" s="27" t="n">
        <f aca="false">B30+C30</f>
        <v>20025282</v>
      </c>
      <c r="E30" s="24" t="s">
        <v>168</v>
      </c>
    </row>
    <row r="31" customFormat="false" ht="15" hidden="false" customHeight="false" outlineLevel="0" collapsed="false">
      <c r="A31" s="8" t="s">
        <v>88</v>
      </c>
      <c r="B31" s="21" t="n">
        <f aca="false">SUM(前提!C34:H34)</f>
        <v>24617595</v>
      </c>
      <c r="C31" s="21" t="n">
        <f aca="false">SUM(前提!I34:N34)</f>
        <v>15548688</v>
      </c>
      <c r="D31" s="27" t="n">
        <f aca="false">B31+C31</f>
        <v>40166283</v>
      </c>
      <c r="E31" s="24" t="s">
        <v>168</v>
      </c>
    </row>
    <row r="32" customFormat="false" ht="15" hidden="false" customHeight="false" outlineLevel="0" collapsed="false">
      <c r="A32" s="8" t="s">
        <v>89</v>
      </c>
      <c r="B32" s="21" t="n">
        <f aca="false">SUM(前提!C35:H35)</f>
        <v>7291552</v>
      </c>
      <c r="C32" s="21" t="n">
        <f aca="false">SUM(前提!I35:N35)</f>
        <v>137712</v>
      </c>
      <c r="D32" s="27" t="n">
        <f aca="false">B32+C32</f>
        <v>7429264</v>
      </c>
      <c r="E32" s="24" t="s">
        <v>168</v>
      </c>
    </row>
    <row r="33" customFormat="false" ht="15" hidden="false" customHeight="false" outlineLevel="0" collapsed="false">
      <c r="A33" s="8" t="s">
        <v>90</v>
      </c>
      <c r="B33" s="21" t="n">
        <f aca="false">SUM(前提!C36:H36)</f>
        <v>5855406</v>
      </c>
      <c r="C33" s="21" t="n">
        <f aca="false">SUM(前提!I36:N36)</f>
        <v>3091392</v>
      </c>
      <c r="D33" s="27" t="n">
        <f aca="false">B33+C33</f>
        <v>8946798</v>
      </c>
      <c r="E33" s="24" t="s">
        <v>168</v>
      </c>
    </row>
    <row r="34" customFormat="false" ht="15" hidden="false" customHeight="false" outlineLevel="0" collapsed="false">
      <c r="A34" s="8" t="s">
        <v>91</v>
      </c>
      <c r="B34" s="21" t="n">
        <f aca="false">SUM(前提!C37:H37)</f>
        <v>10951858</v>
      </c>
      <c r="C34" s="21" t="n">
        <f aca="false">SUM(前提!I37:N37)</f>
        <v>4523316</v>
      </c>
      <c r="D34" s="27" t="n">
        <f aca="false">B34+C34</f>
        <v>15475174</v>
      </c>
      <c r="E34" s="24" t="s">
        <v>168</v>
      </c>
    </row>
    <row r="35" customFormat="false" ht="15" hidden="false" customHeight="false" outlineLevel="0" collapsed="false">
      <c r="A35" s="8" t="s">
        <v>92</v>
      </c>
      <c r="B35" s="21" t="n">
        <f aca="false">SUM(前提!C38:H38)</f>
        <v>1260932</v>
      </c>
      <c r="C35" s="21" t="n">
        <f aca="false">SUM(前提!I38:N38)</f>
        <v>548850</v>
      </c>
      <c r="D35" s="27" t="n">
        <f aca="false">B35+C35</f>
        <v>1809782</v>
      </c>
      <c r="E35" s="24" t="s">
        <v>168</v>
      </c>
    </row>
    <row r="36" customFormat="false" ht="15" hidden="false" customHeight="false" outlineLevel="0" collapsed="false">
      <c r="A36" s="8" t="s">
        <v>93</v>
      </c>
      <c r="B36" s="21" t="n">
        <f aca="false">SUM(前提!C39:H39)</f>
        <v>3111957</v>
      </c>
      <c r="C36" s="21" t="n">
        <f aca="false">SUM(前提!I39:N39)</f>
        <v>1368300</v>
      </c>
      <c r="D36" s="27" t="n">
        <f aca="false">B36+C36</f>
        <v>4480257</v>
      </c>
      <c r="E36" s="24" t="s">
        <v>168</v>
      </c>
    </row>
    <row r="37" customFormat="false" ht="15" hidden="false" customHeight="false" outlineLevel="0" collapsed="false">
      <c r="A37" s="40" t="s">
        <v>169</v>
      </c>
      <c r="B37" s="41" t="n">
        <f aca="false">SUM(B29:B36)</f>
        <v>78778258</v>
      </c>
      <c r="C37" s="41" t="n">
        <f aca="false">SUM(C29:C36)</f>
        <v>37254582</v>
      </c>
      <c r="D37" s="41" t="n">
        <f aca="false">SUM(D29:D36)</f>
        <v>116032840</v>
      </c>
    </row>
    <row r="38" customFormat="false" ht="15" hidden="false" customHeight="false" outlineLevel="0" collapsed="false">
      <c r="A38" s="2" t="s"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8"/>
    <col collapsed="false" customWidth="true" hidden="false" outlineLevel="0" max="3" min="3" style="0" width="34"/>
  </cols>
  <sheetData>
    <row r="1" customFormat="false" ht="17.15" hidden="false" customHeight="false" outlineLevel="0" collapsed="false">
      <c r="A1" s="17" t="s">
        <v>171</v>
      </c>
    </row>
    <row r="2" customFormat="false" ht="15" hidden="false" customHeight="false" outlineLevel="0" collapsed="false">
      <c r="A2" s="2" t="s">
        <v>172</v>
      </c>
    </row>
    <row r="4" customFormat="false" ht="15" hidden="false" customHeight="false" outlineLevel="0" collapsed="false">
      <c r="A4" s="37" t="s">
        <v>173</v>
      </c>
      <c r="B4" s="37" t="s">
        <v>174</v>
      </c>
      <c r="C4" s="37" t="s">
        <v>175</v>
      </c>
    </row>
    <row r="5" customFormat="false" ht="15" hidden="false" customHeight="false" outlineLevel="0" collapsed="false">
      <c r="A5" s="8" t="s">
        <v>176</v>
      </c>
      <c r="B5" s="51" t="n">
        <v>212190</v>
      </c>
      <c r="C5" s="24"/>
    </row>
    <row r="6" customFormat="false" ht="15" hidden="false" customHeight="false" outlineLevel="0" collapsed="false">
      <c r="A6" s="8" t="s">
        <v>177</v>
      </c>
      <c r="B6" s="51" t="n">
        <v>165000</v>
      </c>
      <c r="C6" s="24"/>
    </row>
    <row r="7" customFormat="false" ht="15" hidden="false" customHeight="false" outlineLevel="0" collapsed="false">
      <c r="A7" s="23" t="s">
        <v>178</v>
      </c>
      <c r="B7" s="51" t="n">
        <v>159814</v>
      </c>
      <c r="C7" s="24"/>
    </row>
    <row r="8" customFormat="false" ht="15" hidden="false" customHeight="false" outlineLevel="0" collapsed="false">
      <c r="A8" s="8" t="s">
        <v>179</v>
      </c>
      <c r="B8" s="51" t="n">
        <v>81650</v>
      </c>
      <c r="C8" s="26" t="s">
        <v>180</v>
      </c>
    </row>
    <row r="9" customFormat="false" ht="15" hidden="false" customHeight="false" outlineLevel="0" collapsed="false">
      <c r="A9" s="8" t="s">
        <v>181</v>
      </c>
      <c r="B9" s="51" t="n">
        <v>427776</v>
      </c>
      <c r="C9" s="24"/>
    </row>
    <row r="10" customFormat="false" ht="15" hidden="false" customHeight="false" outlineLevel="0" collapsed="false">
      <c r="A10" s="8" t="s">
        <v>182</v>
      </c>
      <c r="B10" s="51" t="n">
        <v>203703</v>
      </c>
      <c r="C10" s="24"/>
    </row>
    <row r="11" customFormat="false" ht="15" hidden="false" customHeight="false" outlineLevel="0" collapsed="false">
      <c r="A11" s="8" t="s">
        <v>183</v>
      </c>
      <c r="B11" s="51" t="n">
        <v>440000</v>
      </c>
      <c r="C11" s="24"/>
    </row>
    <row r="12" customFormat="false" ht="15" hidden="false" customHeight="false" outlineLevel="0" collapsed="false">
      <c r="A12" s="8" t="s">
        <v>184</v>
      </c>
      <c r="B12" s="51" t="n">
        <v>16500</v>
      </c>
      <c r="C12" s="24"/>
    </row>
    <row r="13" customFormat="false" ht="15" hidden="false" customHeight="false" outlineLevel="0" collapsed="false">
      <c r="A13" s="8" t="s">
        <v>185</v>
      </c>
      <c r="B13" s="51" t="n">
        <v>464970</v>
      </c>
      <c r="C13" s="24" t="s">
        <v>186</v>
      </c>
    </row>
    <row r="14" customFormat="false" ht="15" hidden="false" customHeight="false" outlineLevel="0" collapsed="false">
      <c r="A14" s="8" t="s">
        <v>187</v>
      </c>
      <c r="B14" s="51" t="n">
        <v>628666</v>
      </c>
      <c r="C14" s="24" t="s">
        <v>186</v>
      </c>
    </row>
    <row r="15" customFormat="false" ht="15" hidden="false" customHeight="false" outlineLevel="0" collapsed="false">
      <c r="A15" s="8" t="s">
        <v>188</v>
      </c>
      <c r="B15" s="51" t="n">
        <v>1000000</v>
      </c>
      <c r="C15" s="26" t="s">
        <v>180</v>
      </c>
    </row>
    <row r="17" customFormat="false" ht="15" hidden="false" customHeight="false" outlineLevel="0" collapsed="false">
      <c r="A17" s="40" t="s">
        <v>189</v>
      </c>
      <c r="B17" s="41" t="n">
        <f aca="false">SUM(B5:B15)</f>
        <v>3800269</v>
      </c>
    </row>
    <row r="18" customFormat="false" ht="15" hidden="false" customHeight="false" outlineLevel="0" collapsed="false">
      <c r="A18" s="8" t="s">
        <v>190</v>
      </c>
      <c r="B18" s="51" t="n">
        <v>3800269</v>
      </c>
      <c r="C18" s="23" t="str">
        <f aca="false">IF(B17=B18,"一致","差異あり")</f>
        <v>一致</v>
      </c>
    </row>
    <row r="19" customFormat="false" ht="15" hidden="false" customHeight="false" outlineLevel="0" collapsed="false">
      <c r="A19" s="8" t="s">
        <v>191</v>
      </c>
      <c r="B19" s="51" t="n">
        <v>0</v>
      </c>
      <c r="C19" s="26" t="s">
        <v>192</v>
      </c>
    </row>
    <row r="21" customFormat="false" ht="15" hidden="false" customHeight="false" outlineLevel="0" collapsed="false">
      <c r="A21" s="8" t="s">
        <v>193</v>
      </c>
      <c r="B21" s="21" t="n">
        <f aca="false">AVERAGE(実績!M6:O6)</f>
        <v>3242981.66666667</v>
      </c>
    </row>
    <row r="22" customFormat="false" ht="15" hidden="false" customHeight="false" outlineLevel="0" collapsed="false">
      <c r="A22" s="8" t="s">
        <v>194</v>
      </c>
      <c r="B22" s="27" t="n">
        <f aca="false">B17-B21</f>
        <v>557287.333333334</v>
      </c>
    </row>
    <row r="23" customFormat="false" ht="15" hidden="false" customHeight="false" outlineLevel="0" collapsed="false">
      <c r="A23" s="2" t="s">
        <v>195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8"/>
    <col collapsed="false" customWidth="true" hidden="false" outlineLevel="0" max="3" min="3" style="0" width="60"/>
  </cols>
  <sheetData>
    <row r="1" customFormat="false" ht="16.15" hidden="false" customHeight="false" outlineLevel="0" collapsed="false">
      <c r="A1" s="17" t="s">
        <v>196</v>
      </c>
    </row>
    <row r="2" customFormat="false" ht="15" hidden="false" customHeight="false" outlineLevel="0" collapsed="false">
      <c r="A2" s="2" t="s">
        <v>197</v>
      </c>
    </row>
    <row r="4" customFormat="false" ht="15" hidden="false" customHeight="false" outlineLevel="0" collapsed="false">
      <c r="A4" s="18" t="s">
        <v>198</v>
      </c>
      <c r="B4" s="4"/>
      <c r="C4" s="4"/>
    </row>
    <row r="5" customFormat="false" ht="15" hidden="false" customHeight="false" outlineLevel="0" collapsed="false">
      <c r="A5" s="8" t="s">
        <v>199</v>
      </c>
      <c r="B5" s="21" t="n">
        <f aca="false">前提!B27</f>
        <v>39625000</v>
      </c>
      <c r="C5" s="24"/>
    </row>
    <row r="6" customFormat="false" ht="15" hidden="false" customHeight="false" outlineLevel="0" collapsed="false">
      <c r="A6" s="8" t="s">
        <v>200</v>
      </c>
      <c r="B6" s="58" t="n">
        <f aca="false">前提!B17*前提!B21</f>
        <v>17500</v>
      </c>
      <c r="C6" s="24"/>
    </row>
    <row r="7" customFormat="false" ht="15" hidden="false" customHeight="false" outlineLevel="0" collapsed="false">
      <c r="A7" s="8" t="s">
        <v>201</v>
      </c>
      <c r="B7" s="21" t="n">
        <f aca="false">B6*前提!B25</f>
        <v>2765000</v>
      </c>
      <c r="C7" s="24"/>
    </row>
    <row r="8" customFormat="false" ht="15" hidden="false" customHeight="false" outlineLevel="0" collapsed="false">
      <c r="A8" s="8" t="s">
        <v>202</v>
      </c>
      <c r="B8" s="21" t="n">
        <f aca="false">B7*(1-前提!B23)</f>
        <v>2341540.25</v>
      </c>
      <c r="C8" s="24"/>
    </row>
    <row r="9" customFormat="false" ht="15" hidden="false" customHeight="false" outlineLevel="0" collapsed="false">
      <c r="A9" s="23" t="s">
        <v>203</v>
      </c>
      <c r="B9" s="21" t="n">
        <f aca="false">B8*前提!B24/12</f>
        <v>7024620.75</v>
      </c>
      <c r="C9" s="24"/>
    </row>
    <row r="10" customFormat="false" ht="15" hidden="false" customHeight="false" outlineLevel="0" collapsed="false">
      <c r="A10" s="8" t="s">
        <v>204</v>
      </c>
      <c r="B10" s="14" t="n">
        <f aca="false">B9/B5/(前提!B24/12)</f>
        <v>0.0590924984227129</v>
      </c>
      <c r="C10" s="26" t="s">
        <v>205</v>
      </c>
    </row>
    <row r="11" customFormat="false" ht="15" hidden="false" customHeight="false" outlineLevel="0" collapsed="false">
      <c r="A11" s="8" t="s">
        <v>19</v>
      </c>
      <c r="B11" s="59" t="n">
        <f aca="false">(B5-B9)/前提!B17</f>
        <v>130.401517</v>
      </c>
      <c r="C11" s="26" t="s">
        <v>206</v>
      </c>
    </row>
    <row r="12" customFormat="false" ht="15" hidden="false" customHeight="false" outlineLevel="0" collapsed="false">
      <c r="A12" s="8" t="s">
        <v>207</v>
      </c>
      <c r="B12" s="14" t="n">
        <f aca="false">1-B11/前提!B18</f>
        <v>0.174673943037975</v>
      </c>
      <c r="C12" s="24"/>
    </row>
    <row r="14" customFormat="false" ht="15" hidden="false" customHeight="false" outlineLevel="0" collapsed="false">
      <c r="A14" s="18" t="s">
        <v>208</v>
      </c>
      <c r="B14" s="4"/>
      <c r="C14" s="4"/>
    </row>
    <row r="15" customFormat="false" ht="14.15" hidden="false" customHeight="false" outlineLevel="0" collapsed="false">
      <c r="A15" s="37" t="s">
        <v>209</v>
      </c>
      <c r="B15" s="39" t="s">
        <v>210</v>
      </c>
      <c r="C15" s="37" t="s">
        <v>211</v>
      </c>
    </row>
    <row r="16" customFormat="false" ht="15" hidden="false" customHeight="false" outlineLevel="0" collapsed="false">
      <c r="A16" s="60" t="n">
        <v>120</v>
      </c>
      <c r="B16" s="27" t="n">
        <f aca="false">B$9+前提!$B$17*A16-B$5</f>
        <v>-2600379.25</v>
      </c>
      <c r="C16" s="53" t="n">
        <f aca="false">B16/B$5/(前提!$B$24/12)</f>
        <v>-0.0218749043112513</v>
      </c>
    </row>
    <row r="17" customFormat="false" ht="15" hidden="false" customHeight="false" outlineLevel="0" collapsed="false">
      <c r="A17" s="60" t="n">
        <v>130</v>
      </c>
      <c r="B17" s="27" t="n">
        <f aca="false">B$9+前提!$B$17*A17-B$5</f>
        <v>-100379.25</v>
      </c>
      <c r="C17" s="53" t="n">
        <f aca="false">B17/B$5/(前提!$B$24/12)</f>
        <v>-0.000844410094637224</v>
      </c>
    </row>
    <row r="18" customFormat="false" ht="15" hidden="false" customHeight="false" outlineLevel="0" collapsed="false">
      <c r="A18" s="60" t="n">
        <v>140</v>
      </c>
      <c r="B18" s="27" t="n">
        <f aca="false">B$9+前提!$B$17*A18-B$5</f>
        <v>2399620.75</v>
      </c>
      <c r="C18" s="53" t="n">
        <f aca="false">B18/B$5/(前提!$B$24/12)</f>
        <v>0.0201860841219769</v>
      </c>
    </row>
    <row r="19" customFormat="false" ht="15" hidden="false" customHeight="false" outlineLevel="0" collapsed="false">
      <c r="A19" s="60" t="n">
        <v>150</v>
      </c>
      <c r="B19" s="27" t="n">
        <f aca="false">B$9+前提!$B$17*A19-B$5</f>
        <v>4899620.75</v>
      </c>
      <c r="C19" s="53" t="n">
        <f aca="false">B19/B$5/(前提!$B$24/12)</f>
        <v>0.041216578338591</v>
      </c>
    </row>
    <row r="20" customFormat="false" ht="15" hidden="false" customHeight="false" outlineLevel="0" collapsed="false">
      <c r="A20" s="60" t="n">
        <v>160</v>
      </c>
      <c r="B20" s="27" t="n">
        <f aca="false">B$9+前提!$B$17*A20-B$5</f>
        <v>7399620.75</v>
      </c>
      <c r="C20" s="53" t="n">
        <f aca="false">B20/B$5/(前提!$B$24/12)</f>
        <v>0.062247072555205</v>
      </c>
    </row>
    <row r="21" customFormat="false" ht="15" hidden="false" customHeight="false" outlineLevel="0" collapsed="false">
      <c r="A21" s="60" t="n">
        <v>170</v>
      </c>
      <c r="B21" s="27" t="n">
        <f aca="false">B$9+前提!$B$17*A21-B$5</f>
        <v>9899620.75</v>
      </c>
      <c r="C21" s="53" t="n">
        <f aca="false">B21/B$5/(前提!$B$24/12)</f>
        <v>0.0832775667718191</v>
      </c>
    </row>
    <row r="22" customFormat="false" ht="15" hidden="false" customHeight="false" outlineLevel="0" collapsed="false">
      <c r="A22" s="60" t="n">
        <v>180</v>
      </c>
      <c r="B22" s="27" t="n">
        <f aca="false">B$9+前提!$B$17*A22-B$5</f>
        <v>12399620.75</v>
      </c>
      <c r="C22" s="53" t="n">
        <f aca="false">B22/B$5/(前提!$B$24/12)</f>
        <v>0.104308060988433</v>
      </c>
    </row>
    <row r="23" customFormat="false" ht="15" hidden="false" customHeight="false" outlineLevel="0" collapsed="false">
      <c r="A23" s="2" t="s">
        <v>212</v>
      </c>
    </row>
    <row r="25" customFormat="false" ht="15" hidden="false" customHeight="false" outlineLevel="0" collapsed="false">
      <c r="A25" s="18" t="s">
        <v>213</v>
      </c>
      <c r="B25" s="4"/>
      <c r="C25" s="4"/>
    </row>
    <row r="26" customFormat="false" ht="15" hidden="false" customHeight="false" outlineLevel="0" collapsed="false">
      <c r="A26" s="8" t="s">
        <v>214</v>
      </c>
      <c r="B26" s="27" t="n">
        <f aca="false">B5</f>
        <v>39625000</v>
      </c>
    </row>
    <row r="27" customFormat="false" ht="15" hidden="false" customHeight="false" outlineLevel="0" collapsed="false">
      <c r="A27" s="8" t="s">
        <v>215</v>
      </c>
      <c r="B27" s="31" t="n">
        <v>0.07</v>
      </c>
      <c r="C27" s="26" t="s">
        <v>216</v>
      </c>
    </row>
    <row r="28" customFormat="false" ht="15" hidden="false" customHeight="false" outlineLevel="0" collapsed="false">
      <c r="A28" s="8" t="s">
        <v>217</v>
      </c>
      <c r="B28" s="31" t="n">
        <v>0.05</v>
      </c>
    </row>
    <row r="29" customFormat="false" ht="15" hidden="false" customHeight="false" outlineLevel="0" collapsed="false">
      <c r="A29" s="8" t="s">
        <v>218</v>
      </c>
      <c r="B29" s="31" t="n">
        <v>0.2</v>
      </c>
    </row>
    <row r="30" customFormat="false" ht="15" hidden="false" customHeight="false" outlineLevel="0" collapsed="false">
      <c r="A30" s="8" t="s">
        <v>219</v>
      </c>
      <c r="B30" s="61" t="n">
        <f aca="false">B27*(1-B28)*(1-B29)</f>
        <v>0.0532</v>
      </c>
    </row>
    <row r="31" customFormat="false" ht="15" hidden="false" customHeight="false" outlineLevel="0" collapsed="false">
      <c r="A31" s="8" t="s">
        <v>220</v>
      </c>
      <c r="B31" s="61" t="n">
        <f aca="false">B10</f>
        <v>0.0590924984227129</v>
      </c>
    </row>
    <row r="32" customFormat="false" ht="15" hidden="false" customHeight="false" outlineLevel="0" collapsed="false">
      <c r="A32" s="2" t="s">
        <v>221</v>
      </c>
    </row>
    <row r="33" customFormat="false" ht="15" hidden="false" customHeight="false" outlineLevel="0" collapsed="false">
      <c r="A33" s="2" t="s">
        <v>222</v>
      </c>
    </row>
    <row r="35" customFormat="false" ht="15" hidden="false" customHeight="false" outlineLevel="0" collapsed="false">
      <c r="A35" s="18" t="s">
        <v>223</v>
      </c>
      <c r="B35" s="4"/>
      <c r="C35" s="4"/>
    </row>
    <row r="36" customFormat="false" ht="15" hidden="false" customHeight="false" outlineLevel="0" collapsed="false">
      <c r="A36" s="23" t="s">
        <v>224</v>
      </c>
    </row>
    <row r="37" customFormat="false" ht="15" hidden="false" customHeight="false" outlineLevel="0" collapsed="false">
      <c r="A37" s="23" t="s">
        <v>225</v>
      </c>
    </row>
    <row r="38" customFormat="false" ht="15" hidden="false" customHeight="false" outlineLevel="0" collapsed="false">
      <c r="A38" s="23" t="s">
        <v>226</v>
      </c>
    </row>
    <row r="39" customFormat="false" ht="15" hidden="false" customHeight="false" outlineLevel="0" collapsed="false">
      <c r="A39" s="23" t="s">
        <v>227</v>
      </c>
    </row>
    <row r="40" customFormat="false" ht="15" hidden="false" customHeight="false" outlineLevel="0" collapsed="false">
      <c r="A40" s="23" t="s">
        <v>228</v>
      </c>
    </row>
    <row r="41" customFormat="false" ht="15" hidden="false" customHeight="false" outlineLevel="0" collapsed="false">
      <c r="A41" s="23" t="s">
        <v>229</v>
      </c>
    </row>
    <row r="42" customFormat="false" ht="15" hidden="false" customHeight="false" outlineLevel="0" collapsed="false">
      <c r="A42" s="23" t="s">
        <v>230</v>
      </c>
    </row>
    <row r="43" customFormat="false" ht="15" hidden="false" customHeight="false" outlineLevel="0" collapsed="false">
      <c r="A43" s="23" t="s">
        <v>231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"/>
    <col collapsed="false" customWidth="true" hidden="false" outlineLevel="0" max="8" min="3" style="0" width="14"/>
    <col collapsed="false" customWidth="true" hidden="false" outlineLevel="0" max="9" min="9" style="0" width="2"/>
    <col collapsed="false" customWidth="true" hidden="false" outlineLevel="0" max="15" min="10" style="0" width="14"/>
  </cols>
  <sheetData>
    <row r="1" customFormat="false" ht="17.15" hidden="false" customHeight="false" outlineLevel="0" collapsed="false">
      <c r="A1" s="17" t="s">
        <v>232</v>
      </c>
    </row>
    <row r="2" customFormat="false" ht="15" hidden="false" customHeight="false" outlineLevel="0" collapsed="false">
      <c r="A2" s="2" t="s">
        <v>233</v>
      </c>
    </row>
    <row r="4" customFormat="false" ht="15" hidden="false" customHeight="false" outlineLevel="0" collapsed="false">
      <c r="A4" s="37" t="s">
        <v>128</v>
      </c>
      <c r="B4" s="6"/>
      <c r="C4" s="38" t="s">
        <v>234</v>
      </c>
      <c r="D4" s="38" t="s">
        <v>235</v>
      </c>
      <c r="E4" s="38" t="s">
        <v>236</v>
      </c>
      <c r="F4" s="38" t="s">
        <v>237</v>
      </c>
      <c r="G4" s="38" t="s">
        <v>238</v>
      </c>
      <c r="H4" s="38" t="s">
        <v>239</v>
      </c>
      <c r="I4" s="6"/>
      <c r="J4" s="38" t="s">
        <v>240</v>
      </c>
      <c r="K4" s="38" t="s">
        <v>241</v>
      </c>
      <c r="L4" s="38" t="s">
        <v>242</v>
      </c>
      <c r="M4" s="38" t="s">
        <v>243</v>
      </c>
      <c r="N4" s="38" t="s">
        <v>244</v>
      </c>
      <c r="O4" s="38" t="s">
        <v>245</v>
      </c>
    </row>
    <row r="6" customFormat="false" ht="15" hidden="false" customHeight="false" outlineLevel="0" collapsed="false">
      <c r="A6" s="8" t="s">
        <v>246</v>
      </c>
      <c r="C6" s="51" t="n">
        <v>29212699</v>
      </c>
      <c r="D6" s="51" t="n">
        <v>33092018</v>
      </c>
      <c r="E6" s="51" t="n">
        <v>38789464</v>
      </c>
      <c r="F6" s="51" t="n">
        <v>42856654</v>
      </c>
      <c r="G6" s="51" t="n">
        <v>45830786</v>
      </c>
      <c r="H6" s="51" t="n">
        <v>48518409</v>
      </c>
      <c r="J6" s="27" t="n">
        <f aca="false">C6</f>
        <v>29212699</v>
      </c>
      <c r="K6" s="27" t="n">
        <f aca="false">D6-C6</f>
        <v>3879319</v>
      </c>
      <c r="L6" s="27" t="n">
        <f aca="false">E6-D6</f>
        <v>5697446</v>
      </c>
      <c r="M6" s="27" t="n">
        <f aca="false">F6-E6</f>
        <v>4067190</v>
      </c>
      <c r="N6" s="27" t="n">
        <f aca="false">G6-F6</f>
        <v>2974132</v>
      </c>
      <c r="O6" s="27" t="n">
        <f aca="false">H6-G6</f>
        <v>2687623</v>
      </c>
    </row>
    <row r="7" customFormat="false" ht="15" hidden="false" customHeight="false" outlineLevel="0" collapsed="false">
      <c r="A7" s="8" t="s">
        <v>247</v>
      </c>
      <c r="C7" s="51" t="n">
        <v>3120000</v>
      </c>
      <c r="D7" s="51" t="n">
        <v>3142224</v>
      </c>
      <c r="E7" s="51" t="n">
        <v>3142224</v>
      </c>
      <c r="F7" s="51" t="n">
        <v>3142224</v>
      </c>
      <c r="G7" s="51" t="n">
        <v>3153336</v>
      </c>
      <c r="H7" s="51" t="n">
        <v>3153336</v>
      </c>
      <c r="J7" s="27" t="n">
        <f aca="false">C7</f>
        <v>3120000</v>
      </c>
      <c r="K7" s="27" t="n">
        <f aca="false">D7-C7</f>
        <v>22224</v>
      </c>
      <c r="L7" s="27" t="n">
        <f aca="false">E7-D7</f>
        <v>0</v>
      </c>
      <c r="M7" s="27" t="n">
        <f aca="false">F7-E7</f>
        <v>0</v>
      </c>
      <c r="N7" s="27" t="n">
        <f aca="false">G7-F7</f>
        <v>11112</v>
      </c>
      <c r="O7" s="27" t="n">
        <f aca="false">H7-G7</f>
        <v>0</v>
      </c>
    </row>
    <row r="8" customFormat="false" ht="15" hidden="false" customHeight="false" outlineLevel="0" collapsed="false">
      <c r="A8" s="8" t="s">
        <v>248</v>
      </c>
      <c r="C8" s="51" t="n">
        <v>23224126</v>
      </c>
      <c r="D8" s="51" t="n">
        <v>23224126</v>
      </c>
      <c r="E8" s="51" t="n">
        <v>23224126</v>
      </c>
      <c r="F8" s="51" t="n">
        <v>73274882</v>
      </c>
      <c r="G8" s="51" t="n">
        <v>110288898</v>
      </c>
      <c r="H8" s="51" t="n">
        <v>110288898</v>
      </c>
      <c r="J8" s="27" t="n">
        <f aca="false">C8</f>
        <v>23224126</v>
      </c>
      <c r="K8" s="27" t="n">
        <f aca="false">D8-C8</f>
        <v>0</v>
      </c>
      <c r="L8" s="27" t="n">
        <f aca="false">E8-D8</f>
        <v>0</v>
      </c>
      <c r="M8" s="27" t="n">
        <f aca="false">F8-E8</f>
        <v>50050756</v>
      </c>
      <c r="N8" s="27" t="n">
        <f aca="false">G8-F8</f>
        <v>37014016</v>
      </c>
      <c r="O8" s="27" t="n">
        <f aca="false">H8-G8</f>
        <v>0</v>
      </c>
    </row>
    <row r="9" customFormat="false" ht="15" hidden="false" customHeight="false" outlineLevel="0" collapsed="false">
      <c r="A9" s="8" t="s">
        <v>86</v>
      </c>
      <c r="C9" s="51" t="n">
        <v>6300000</v>
      </c>
      <c r="D9" s="51" t="n">
        <v>7200000</v>
      </c>
      <c r="E9" s="51" t="n">
        <v>8100000</v>
      </c>
      <c r="F9" s="51" t="n">
        <v>9000000</v>
      </c>
      <c r="G9" s="51" t="n">
        <v>9900000</v>
      </c>
      <c r="H9" s="51" t="n">
        <v>12300000</v>
      </c>
      <c r="J9" s="27" t="n">
        <f aca="false">C9</f>
        <v>6300000</v>
      </c>
      <c r="K9" s="27" t="n">
        <f aca="false">D9-C9</f>
        <v>900000</v>
      </c>
      <c r="L9" s="27" t="n">
        <f aca="false">E9-D9</f>
        <v>900000</v>
      </c>
      <c r="M9" s="27" t="n">
        <f aca="false">F9-E9</f>
        <v>900000</v>
      </c>
      <c r="N9" s="27" t="n">
        <f aca="false">G9-F9</f>
        <v>900000</v>
      </c>
      <c r="O9" s="27" t="n">
        <f aca="false">H9-G9</f>
        <v>2400000</v>
      </c>
    </row>
    <row r="10" customFormat="false" ht="15" hidden="false" customHeight="false" outlineLevel="0" collapsed="false">
      <c r="A10" s="8" t="s">
        <v>141</v>
      </c>
      <c r="C10" s="51" t="n">
        <v>3506339</v>
      </c>
      <c r="D10" s="51" t="n">
        <v>3938661</v>
      </c>
      <c r="E10" s="51" t="n">
        <v>4375281</v>
      </c>
      <c r="F10" s="51" t="n">
        <v>5361041</v>
      </c>
      <c r="G10" s="51" t="n">
        <v>5795942</v>
      </c>
      <c r="H10" s="51" t="n">
        <v>6215372</v>
      </c>
      <c r="J10" s="27" t="n">
        <f aca="false">C10</f>
        <v>3506339</v>
      </c>
      <c r="K10" s="27" t="n">
        <f aca="false">D10-C10</f>
        <v>432322</v>
      </c>
      <c r="L10" s="27" t="n">
        <f aca="false">E10-D10</f>
        <v>436620</v>
      </c>
      <c r="M10" s="27" t="n">
        <f aca="false">F10-E10</f>
        <v>985760</v>
      </c>
      <c r="N10" s="27" t="n">
        <f aca="false">G10-F10</f>
        <v>434901</v>
      </c>
      <c r="O10" s="27" t="n">
        <f aca="false">H10-G10</f>
        <v>419430</v>
      </c>
    </row>
    <row r="11" customFormat="false" ht="15" hidden="false" customHeight="false" outlineLevel="0" collapsed="false">
      <c r="A11" s="8" t="s">
        <v>152</v>
      </c>
      <c r="C11" s="51" t="n">
        <v>650000</v>
      </c>
      <c r="D11" s="51" t="n">
        <v>650000</v>
      </c>
      <c r="E11" s="51" t="n">
        <v>650000</v>
      </c>
      <c r="F11" s="51" t="n">
        <v>650000</v>
      </c>
      <c r="G11" s="51" t="n">
        <v>650000</v>
      </c>
      <c r="H11" s="51" t="n">
        <v>650000</v>
      </c>
      <c r="J11" s="27" t="n">
        <f aca="false">C11</f>
        <v>650000</v>
      </c>
      <c r="K11" s="27" t="n">
        <f aca="false">D11-C11</f>
        <v>0</v>
      </c>
      <c r="L11" s="27" t="n">
        <f aca="false">E11-D11</f>
        <v>0</v>
      </c>
      <c r="M11" s="27" t="n">
        <f aca="false">F11-E11</f>
        <v>0</v>
      </c>
      <c r="N11" s="27" t="n">
        <f aca="false">G11-F11</f>
        <v>0</v>
      </c>
      <c r="O11" s="27" t="n">
        <f aca="false">H11-G11</f>
        <v>0</v>
      </c>
    </row>
    <row r="12" customFormat="false" ht="15" hidden="false" customHeight="false" outlineLevel="0" collapsed="false">
      <c r="A12" s="8" t="s">
        <v>148</v>
      </c>
      <c r="C12" s="51" t="n">
        <v>1006271</v>
      </c>
      <c r="D12" s="51" t="n">
        <v>1004128</v>
      </c>
      <c r="E12" s="51" t="n">
        <v>1252495</v>
      </c>
      <c r="F12" s="51" t="n">
        <v>1372299</v>
      </c>
      <c r="G12" s="51" t="n">
        <v>1495408</v>
      </c>
      <c r="H12" s="51" t="n">
        <v>1703283</v>
      </c>
      <c r="J12" s="27" t="n">
        <f aca="false">C12</f>
        <v>1006271</v>
      </c>
      <c r="K12" s="27" t="n">
        <f aca="false">D12-C12</f>
        <v>-2143</v>
      </c>
      <c r="L12" s="27" t="n">
        <f aca="false">E12-D12</f>
        <v>248367</v>
      </c>
      <c r="M12" s="27" t="n">
        <f aca="false">F12-E12</f>
        <v>119804</v>
      </c>
      <c r="N12" s="27" t="n">
        <f aca="false">G12-F12</f>
        <v>123109</v>
      </c>
      <c r="O12" s="27" t="n">
        <f aca="false">H12-G12</f>
        <v>207875</v>
      </c>
    </row>
    <row r="13" customFormat="false" ht="15" hidden="false" customHeight="false" outlineLevel="0" collapsed="false">
      <c r="A13" s="8" t="s">
        <v>143</v>
      </c>
      <c r="C13" s="51" t="n">
        <v>2970906</v>
      </c>
      <c r="D13" s="51" t="n">
        <v>3213285</v>
      </c>
      <c r="E13" s="51" t="n">
        <v>3634352</v>
      </c>
      <c r="F13" s="51" t="n">
        <v>3907088</v>
      </c>
      <c r="G13" s="51" t="n">
        <v>4239956</v>
      </c>
      <c r="H13" s="51" t="n">
        <v>4820303</v>
      </c>
      <c r="J13" s="27" t="n">
        <f aca="false">C13</f>
        <v>2970906</v>
      </c>
      <c r="K13" s="27" t="n">
        <f aca="false">D13-C13</f>
        <v>242379</v>
      </c>
      <c r="L13" s="27" t="n">
        <f aca="false">E13-D13</f>
        <v>421067</v>
      </c>
      <c r="M13" s="27" t="n">
        <f aca="false">F13-E13</f>
        <v>272736</v>
      </c>
      <c r="N13" s="27" t="n">
        <f aca="false">G13-F13</f>
        <v>332868</v>
      </c>
      <c r="O13" s="27" t="n">
        <f aca="false">H13-G13</f>
        <v>580347</v>
      </c>
    </row>
    <row r="14" customFormat="false" ht="15" hidden="false" customHeight="false" outlineLevel="0" collapsed="false">
      <c r="A14" s="8" t="s">
        <v>88</v>
      </c>
      <c r="C14" s="51" t="n">
        <v>6100386</v>
      </c>
      <c r="D14" s="51" t="n">
        <v>6969174</v>
      </c>
      <c r="E14" s="51" t="n">
        <v>16138245</v>
      </c>
      <c r="F14" s="51" t="n">
        <v>18729693</v>
      </c>
      <c r="G14" s="51" t="n">
        <v>20079749</v>
      </c>
      <c r="H14" s="51" t="n">
        <v>24617595</v>
      </c>
      <c r="J14" s="27" t="n">
        <f aca="false">C14</f>
        <v>6100386</v>
      </c>
      <c r="K14" s="27" t="n">
        <f aca="false">D14-C14</f>
        <v>868788</v>
      </c>
      <c r="L14" s="27" t="n">
        <f aca="false">E14-D14</f>
        <v>9169071</v>
      </c>
      <c r="M14" s="27" t="n">
        <f aca="false">F14-E14</f>
        <v>2591448</v>
      </c>
      <c r="N14" s="27" t="n">
        <f aca="false">G14-F14</f>
        <v>1350056</v>
      </c>
      <c r="O14" s="27" t="n">
        <f aca="false">H14-G14</f>
        <v>4537846</v>
      </c>
    </row>
    <row r="15" customFormat="false" ht="15" hidden="false" customHeight="false" outlineLevel="0" collapsed="false">
      <c r="A15" s="8" t="s">
        <v>89</v>
      </c>
      <c r="C15" s="51" t="n">
        <v>5496995</v>
      </c>
      <c r="D15" s="51" t="n">
        <v>7216795</v>
      </c>
      <c r="E15" s="51" t="n">
        <v>7252295</v>
      </c>
      <c r="F15" s="51" t="n">
        <v>7268000</v>
      </c>
      <c r="G15" s="51" t="n">
        <v>7290952</v>
      </c>
      <c r="H15" s="51" t="n">
        <v>7291552</v>
      </c>
      <c r="J15" s="27" t="n">
        <f aca="false">C15</f>
        <v>5496995</v>
      </c>
      <c r="K15" s="27" t="n">
        <f aca="false">D15-C15</f>
        <v>1719800</v>
      </c>
      <c r="L15" s="27" t="n">
        <f aca="false">E15-D15</f>
        <v>35500</v>
      </c>
      <c r="M15" s="27" t="n">
        <f aca="false">F15-E15</f>
        <v>15705</v>
      </c>
      <c r="N15" s="27" t="n">
        <f aca="false">G15-F15</f>
        <v>22952</v>
      </c>
      <c r="O15" s="27" t="n">
        <f aca="false">H15-G15</f>
        <v>600</v>
      </c>
    </row>
    <row r="16" customFormat="false" ht="15" hidden="false" customHeight="false" outlineLevel="0" collapsed="false">
      <c r="A16" s="8" t="s">
        <v>146</v>
      </c>
      <c r="C16" s="51" t="n">
        <v>1244308</v>
      </c>
      <c r="D16" s="51" t="n">
        <v>1408709</v>
      </c>
      <c r="E16" s="51" t="n">
        <v>1596998</v>
      </c>
      <c r="F16" s="51" t="n">
        <v>1827900</v>
      </c>
      <c r="G16" s="51" t="n">
        <v>2055681</v>
      </c>
      <c r="H16" s="51" t="n">
        <v>2288413</v>
      </c>
      <c r="J16" s="27" t="n">
        <f aca="false">C16</f>
        <v>1244308</v>
      </c>
      <c r="K16" s="27" t="n">
        <f aca="false">D16-C16</f>
        <v>164401</v>
      </c>
      <c r="L16" s="27" t="n">
        <f aca="false">E16-D16</f>
        <v>188289</v>
      </c>
      <c r="M16" s="27" t="n">
        <f aca="false">F16-E16</f>
        <v>230902</v>
      </c>
      <c r="N16" s="27" t="n">
        <f aca="false">G16-F16</f>
        <v>227781</v>
      </c>
      <c r="O16" s="27" t="n">
        <f aca="false">H16-G16</f>
        <v>232732</v>
      </c>
    </row>
    <row r="17" customFormat="false" ht="15" hidden="false" customHeight="false" outlineLevel="0" collapsed="false">
      <c r="A17" s="8" t="s">
        <v>145</v>
      </c>
      <c r="C17" s="51" t="n">
        <v>1995319</v>
      </c>
      <c r="D17" s="51" t="n">
        <v>2255572</v>
      </c>
      <c r="E17" s="51" t="n">
        <v>2574708</v>
      </c>
      <c r="F17" s="51" t="n">
        <v>2859038</v>
      </c>
      <c r="G17" s="51" t="n">
        <v>3281175</v>
      </c>
      <c r="H17" s="51" t="n">
        <v>3566993</v>
      </c>
      <c r="J17" s="27" t="n">
        <f aca="false">C17</f>
        <v>1995319</v>
      </c>
      <c r="K17" s="27" t="n">
        <f aca="false">D17-C17</f>
        <v>260253</v>
      </c>
      <c r="L17" s="27" t="n">
        <f aca="false">E17-D17</f>
        <v>319136</v>
      </c>
      <c r="M17" s="27" t="n">
        <f aca="false">F17-E17</f>
        <v>284330</v>
      </c>
      <c r="N17" s="27" t="n">
        <f aca="false">G17-F17</f>
        <v>422137</v>
      </c>
      <c r="O17" s="27" t="n">
        <f aca="false">H17-G17</f>
        <v>285818</v>
      </c>
    </row>
    <row r="18" customFormat="false" ht="15" hidden="false" customHeight="false" outlineLevel="0" collapsed="false">
      <c r="A18" s="8" t="s">
        <v>138</v>
      </c>
      <c r="C18" s="51" t="n">
        <v>6589962</v>
      </c>
      <c r="D18" s="51" t="n">
        <v>7392690</v>
      </c>
      <c r="E18" s="51" t="n">
        <v>8042164</v>
      </c>
      <c r="F18" s="51" t="n">
        <v>8673950</v>
      </c>
      <c r="G18" s="51" t="n">
        <v>8943675</v>
      </c>
      <c r="H18" s="51" t="n">
        <v>9044839</v>
      </c>
      <c r="J18" s="27" t="n">
        <f aca="false">C18</f>
        <v>6589962</v>
      </c>
      <c r="K18" s="27" t="n">
        <f aca="false">D18-C18</f>
        <v>802728</v>
      </c>
      <c r="L18" s="27" t="n">
        <f aca="false">E18-D18</f>
        <v>649474</v>
      </c>
      <c r="M18" s="27" t="n">
        <f aca="false">F18-E18</f>
        <v>631786</v>
      </c>
      <c r="N18" s="27" t="n">
        <f aca="false">G18-F18</f>
        <v>269725</v>
      </c>
      <c r="O18" s="27" t="n">
        <f aca="false">H18-G18</f>
        <v>101164</v>
      </c>
    </row>
    <row r="19" customFormat="false" ht="15" hidden="false" customHeight="false" outlineLevel="0" collapsed="false">
      <c r="A19" s="8" t="s">
        <v>147</v>
      </c>
      <c r="C19" s="51" t="n">
        <v>1180428</v>
      </c>
      <c r="D19" s="51" t="n">
        <v>1313155</v>
      </c>
      <c r="E19" s="51" t="n">
        <v>1495355</v>
      </c>
      <c r="F19" s="51" t="n">
        <v>1617455</v>
      </c>
      <c r="G19" s="51" t="n">
        <v>1760919</v>
      </c>
      <c r="H19" s="51" t="n">
        <v>1907019</v>
      </c>
      <c r="J19" s="27" t="n">
        <f aca="false">C19</f>
        <v>1180428</v>
      </c>
      <c r="K19" s="27" t="n">
        <f aca="false">D19-C19</f>
        <v>132727</v>
      </c>
      <c r="L19" s="27" t="n">
        <f aca="false">E19-D19</f>
        <v>182200</v>
      </c>
      <c r="M19" s="27" t="n">
        <f aca="false">F19-E19</f>
        <v>122100</v>
      </c>
      <c r="N19" s="27" t="n">
        <f aca="false">G19-F19</f>
        <v>143464</v>
      </c>
      <c r="O19" s="27" t="n">
        <f aca="false">H19-G19</f>
        <v>146100</v>
      </c>
    </row>
    <row r="20" customFormat="false" ht="15" hidden="false" customHeight="false" outlineLevel="0" collapsed="false">
      <c r="A20" s="8" t="s">
        <v>155</v>
      </c>
      <c r="C20" s="51" t="n">
        <v>400629</v>
      </c>
      <c r="D20" s="51" t="n">
        <v>400629</v>
      </c>
      <c r="E20" s="51" t="n">
        <v>400629</v>
      </c>
      <c r="F20" s="51" t="n">
        <v>400629</v>
      </c>
      <c r="G20" s="51" t="n">
        <v>400629</v>
      </c>
      <c r="H20" s="51" t="n">
        <v>413029</v>
      </c>
      <c r="J20" s="27" t="n">
        <f aca="false">C20</f>
        <v>400629</v>
      </c>
      <c r="K20" s="27" t="n">
        <f aca="false">D20-C20</f>
        <v>0</v>
      </c>
      <c r="L20" s="27" t="n">
        <f aca="false">E20-D20</f>
        <v>0</v>
      </c>
      <c r="M20" s="27" t="n">
        <f aca="false">F20-E20</f>
        <v>0</v>
      </c>
      <c r="N20" s="27" t="n">
        <f aca="false">G20-F20</f>
        <v>0</v>
      </c>
      <c r="O20" s="27" t="n">
        <f aca="false">H20-G20</f>
        <v>12400</v>
      </c>
    </row>
    <row r="21" customFormat="false" ht="15" hidden="false" customHeight="false" outlineLevel="0" collapsed="false">
      <c r="A21" s="8" t="s">
        <v>156</v>
      </c>
      <c r="C21" s="51" t="n">
        <v>149395</v>
      </c>
      <c r="D21" s="51" t="n">
        <v>161271</v>
      </c>
      <c r="E21" s="51" t="n">
        <v>172533</v>
      </c>
      <c r="F21" s="51" t="n">
        <v>191019</v>
      </c>
      <c r="G21" s="51" t="n">
        <v>204909</v>
      </c>
      <c r="H21" s="51" t="n">
        <v>218496</v>
      </c>
      <c r="J21" s="27" t="n">
        <f aca="false">C21</f>
        <v>149395</v>
      </c>
      <c r="K21" s="27" t="n">
        <f aca="false">D21-C21</f>
        <v>11876</v>
      </c>
      <c r="L21" s="27" t="n">
        <f aca="false">E21-D21</f>
        <v>11262</v>
      </c>
      <c r="M21" s="27" t="n">
        <f aca="false">F21-E21</f>
        <v>18486</v>
      </c>
      <c r="N21" s="27" t="n">
        <f aca="false">G21-F21</f>
        <v>13890</v>
      </c>
      <c r="O21" s="27" t="n">
        <f aca="false">H21-G21</f>
        <v>13587</v>
      </c>
    </row>
    <row r="22" customFormat="false" ht="15" hidden="false" customHeight="false" outlineLevel="0" collapsed="false">
      <c r="A22" s="8" t="s">
        <v>153</v>
      </c>
      <c r="C22" s="51" t="n">
        <v>157863</v>
      </c>
      <c r="D22" s="51" t="n">
        <v>174712</v>
      </c>
      <c r="E22" s="51" t="n">
        <v>189173</v>
      </c>
      <c r="F22" s="51" t="n">
        <v>262162</v>
      </c>
      <c r="G22" s="51" t="n">
        <v>399551</v>
      </c>
      <c r="H22" s="51" t="n">
        <v>629407</v>
      </c>
      <c r="J22" s="27" t="n">
        <f aca="false">C22</f>
        <v>157863</v>
      </c>
      <c r="K22" s="27" t="n">
        <f aca="false">D22-C22</f>
        <v>16849</v>
      </c>
      <c r="L22" s="27" t="n">
        <f aca="false">E22-D22</f>
        <v>14461</v>
      </c>
      <c r="M22" s="27" t="n">
        <f aca="false">F22-E22</f>
        <v>72989</v>
      </c>
      <c r="N22" s="27" t="n">
        <f aca="false">G22-F22</f>
        <v>137389</v>
      </c>
      <c r="O22" s="27" t="n">
        <f aca="false">H22-G22</f>
        <v>229856</v>
      </c>
    </row>
    <row r="23" customFormat="false" ht="15" hidden="false" customHeight="false" outlineLevel="0" collapsed="false">
      <c r="A23" s="8" t="s">
        <v>149</v>
      </c>
      <c r="C23" s="51" t="n">
        <v>1104751</v>
      </c>
      <c r="D23" s="51" t="n">
        <v>1216251</v>
      </c>
      <c r="E23" s="51" t="n">
        <v>1387751</v>
      </c>
      <c r="F23" s="51" t="n">
        <v>1499251</v>
      </c>
      <c r="G23" s="51" t="n">
        <v>1610751</v>
      </c>
      <c r="H23" s="51" t="n">
        <v>1722251</v>
      </c>
      <c r="J23" s="27" t="n">
        <f aca="false">C23</f>
        <v>1104751</v>
      </c>
      <c r="K23" s="27" t="n">
        <f aca="false">D23-C23</f>
        <v>111500</v>
      </c>
      <c r="L23" s="27" t="n">
        <f aca="false">E23-D23</f>
        <v>171500</v>
      </c>
      <c r="M23" s="27" t="n">
        <f aca="false">F23-E23</f>
        <v>111500</v>
      </c>
      <c r="N23" s="27" t="n">
        <f aca="false">G23-F23</f>
        <v>111500</v>
      </c>
      <c r="O23" s="27" t="n">
        <f aca="false">H23-G23</f>
        <v>111500</v>
      </c>
    </row>
    <row r="24" customFormat="false" ht="15" hidden="false" customHeight="false" outlineLevel="0" collapsed="false">
      <c r="A24" s="8" t="s">
        <v>151</v>
      </c>
      <c r="C24" s="51" t="n">
        <v>808116</v>
      </c>
      <c r="D24" s="51" t="n">
        <v>946211</v>
      </c>
      <c r="E24" s="51" t="n">
        <v>1030661</v>
      </c>
      <c r="F24" s="51" t="n">
        <v>1123256</v>
      </c>
      <c r="G24" s="51" t="n">
        <v>1237506</v>
      </c>
      <c r="H24" s="51" t="n">
        <v>1321156</v>
      </c>
      <c r="J24" s="27" t="n">
        <f aca="false">C24</f>
        <v>808116</v>
      </c>
      <c r="K24" s="27" t="n">
        <f aca="false">D24-C24</f>
        <v>138095</v>
      </c>
      <c r="L24" s="27" t="n">
        <f aca="false">E24-D24</f>
        <v>84450</v>
      </c>
      <c r="M24" s="27" t="n">
        <f aca="false">F24-E24</f>
        <v>92595</v>
      </c>
      <c r="N24" s="27" t="n">
        <f aca="false">G24-F24</f>
        <v>114250</v>
      </c>
      <c r="O24" s="27" t="n">
        <f aca="false">H24-G24</f>
        <v>83650</v>
      </c>
    </row>
    <row r="25" customFormat="false" ht="15" hidden="false" customHeight="false" outlineLevel="0" collapsed="false">
      <c r="A25" s="8" t="s">
        <v>157</v>
      </c>
      <c r="C25" s="51" t="n">
        <v>38250</v>
      </c>
      <c r="D25" s="51" t="n">
        <v>38250</v>
      </c>
      <c r="E25" s="51" t="n">
        <v>38250</v>
      </c>
      <c r="F25" s="51" t="n">
        <v>38250</v>
      </c>
      <c r="G25" s="51" t="n">
        <v>38250</v>
      </c>
      <c r="H25" s="51" t="n">
        <v>38250</v>
      </c>
      <c r="J25" s="27" t="n">
        <f aca="false">C25</f>
        <v>38250</v>
      </c>
      <c r="K25" s="27" t="n">
        <f aca="false">D25-C25</f>
        <v>0</v>
      </c>
      <c r="L25" s="27" t="n">
        <f aca="false">E25-D25</f>
        <v>0</v>
      </c>
      <c r="M25" s="27" t="n">
        <f aca="false">F25-E25</f>
        <v>0</v>
      </c>
      <c r="N25" s="27" t="n">
        <f aca="false">G25-F25</f>
        <v>0</v>
      </c>
      <c r="O25" s="27" t="n">
        <f aca="false">H25-G25</f>
        <v>0</v>
      </c>
    </row>
    <row r="26" customFormat="false" ht="15" hidden="false" customHeight="false" outlineLevel="0" collapsed="false">
      <c r="A26" s="8" t="s">
        <v>158</v>
      </c>
      <c r="C26" s="51" t="n">
        <v>18000</v>
      </c>
      <c r="D26" s="51" t="n">
        <v>18000</v>
      </c>
      <c r="E26" s="51" t="n">
        <v>18000</v>
      </c>
      <c r="F26" s="51" t="n">
        <v>18000</v>
      </c>
      <c r="G26" s="51" t="n">
        <v>20300</v>
      </c>
      <c r="H26" s="51" t="n">
        <v>20300</v>
      </c>
      <c r="J26" s="27" t="n">
        <f aca="false">C26</f>
        <v>18000</v>
      </c>
      <c r="K26" s="27" t="n">
        <f aca="false">D26-C26</f>
        <v>0</v>
      </c>
      <c r="L26" s="27" t="n">
        <f aca="false">E26-D26</f>
        <v>0</v>
      </c>
      <c r="M26" s="27" t="n">
        <f aca="false">F26-E26</f>
        <v>0</v>
      </c>
      <c r="N26" s="27" t="n">
        <f aca="false">G26-F26</f>
        <v>2300</v>
      </c>
      <c r="O26" s="27" t="n">
        <f aca="false">H26-G26</f>
        <v>0</v>
      </c>
    </row>
    <row r="27" customFormat="false" ht="15" hidden="false" customHeight="false" outlineLevel="0" collapsed="false">
      <c r="A27" s="8" t="s">
        <v>159</v>
      </c>
      <c r="C27" s="51" t="n">
        <v>10000</v>
      </c>
      <c r="D27" s="51" t="n">
        <v>10000</v>
      </c>
      <c r="E27" s="51" t="n">
        <v>10000</v>
      </c>
      <c r="F27" s="51" t="n">
        <v>10000</v>
      </c>
      <c r="G27" s="51" t="n">
        <v>10000</v>
      </c>
      <c r="H27" s="51" t="n">
        <v>10000</v>
      </c>
      <c r="J27" s="27" t="n">
        <f aca="false">C27</f>
        <v>10000</v>
      </c>
      <c r="K27" s="27" t="n">
        <f aca="false">D27-C27</f>
        <v>0</v>
      </c>
      <c r="L27" s="27" t="n">
        <f aca="false">E27-D27</f>
        <v>0</v>
      </c>
      <c r="M27" s="27" t="n">
        <f aca="false">F27-E27</f>
        <v>0</v>
      </c>
      <c r="N27" s="27" t="n">
        <f aca="false">G27-F27</f>
        <v>0</v>
      </c>
      <c r="O27" s="27" t="n">
        <f aca="false">H27-G27</f>
        <v>0</v>
      </c>
    </row>
    <row r="28" customFormat="false" ht="15" hidden="false" customHeight="false" outlineLevel="0" collapsed="false">
      <c r="A28" s="8" t="s">
        <v>249</v>
      </c>
      <c r="C28" s="51" t="n">
        <v>1167600</v>
      </c>
      <c r="D28" s="51" t="n">
        <v>1334400</v>
      </c>
      <c r="E28" s="51" t="n">
        <v>1501200</v>
      </c>
      <c r="F28" s="51" t="n">
        <v>1668000</v>
      </c>
      <c r="G28" s="51" t="n">
        <v>1668000</v>
      </c>
      <c r="H28" s="51" t="n">
        <v>1668000</v>
      </c>
      <c r="J28" s="27" t="n">
        <f aca="false">C28</f>
        <v>1167600</v>
      </c>
      <c r="K28" s="27" t="n">
        <f aca="false">D28-C28</f>
        <v>166800</v>
      </c>
      <c r="L28" s="27" t="n">
        <f aca="false">E28-D28</f>
        <v>166800</v>
      </c>
      <c r="M28" s="27" t="n">
        <f aca="false">F28-E28</f>
        <v>166800</v>
      </c>
      <c r="N28" s="27" t="n">
        <f aca="false">G28-F28</f>
        <v>0</v>
      </c>
      <c r="O28" s="27" t="n">
        <f aca="false">H28-G28</f>
        <v>0</v>
      </c>
    </row>
    <row r="29" customFormat="false" ht="15" hidden="false" customHeight="false" outlineLevel="0" collapsed="false">
      <c r="A29" s="8" t="s">
        <v>250</v>
      </c>
      <c r="C29" s="51" t="n">
        <v>40895518</v>
      </c>
      <c r="D29" s="51" t="n">
        <v>46861893</v>
      </c>
      <c r="E29" s="51" t="n">
        <v>59860090</v>
      </c>
      <c r="F29" s="51" t="n">
        <v>66477031</v>
      </c>
      <c r="G29" s="51" t="n">
        <v>71083353</v>
      </c>
      <c r="H29" s="51" t="n">
        <v>80446258</v>
      </c>
      <c r="J29" s="27" t="n">
        <f aca="false">C29</f>
        <v>40895518</v>
      </c>
      <c r="K29" s="27" t="n">
        <f aca="false">D29-C29</f>
        <v>5966375</v>
      </c>
      <c r="L29" s="27" t="n">
        <f aca="false">E29-D29</f>
        <v>12998197</v>
      </c>
      <c r="M29" s="27" t="n">
        <f aca="false">F29-E29</f>
        <v>6616941</v>
      </c>
      <c r="N29" s="27" t="n">
        <f aca="false">G29-F29</f>
        <v>4606322</v>
      </c>
      <c r="O29" s="27" t="n">
        <f aca="false">H29-G29</f>
        <v>9362905</v>
      </c>
    </row>
    <row r="30" customFormat="false" ht="15" hidden="false" customHeight="false" outlineLevel="0" collapsed="false">
      <c r="A30" s="62" t="s">
        <v>251</v>
      </c>
      <c r="C30" s="63" t="n">
        <f aca="false">SUM(C9:C28)-C29</f>
        <v>0</v>
      </c>
      <c r="D30" s="63" t="n">
        <f aca="false">SUM(D9:D28)-D29</f>
        <v>0</v>
      </c>
      <c r="E30" s="63" t="n">
        <f aca="false">SUM(E9:E28)-E29</f>
        <v>0</v>
      </c>
      <c r="F30" s="63" t="n">
        <f aca="false">SUM(F9:F28)-F29</f>
        <v>0</v>
      </c>
      <c r="G30" s="63" t="n">
        <f aca="false">SUM(G9:G28)-G29</f>
        <v>0</v>
      </c>
      <c r="H30" s="63" t="n">
        <f aca="false">SUM(H9:H28)-H29</f>
        <v>0</v>
      </c>
      <c r="J30" s="63" t="n">
        <f aca="false">SUM(J9:J28)-J29</f>
        <v>0</v>
      </c>
      <c r="K30" s="63" t="n">
        <f aca="false">SUM(K9:K28)-K29</f>
        <v>0</v>
      </c>
      <c r="L30" s="63" t="n">
        <f aca="false">SUM(L9:L28)-L29</f>
        <v>0</v>
      </c>
      <c r="M30" s="63" t="n">
        <f aca="false">SUM(M9:M28)-M29</f>
        <v>0</v>
      </c>
      <c r="N30" s="63" t="n">
        <f aca="false">SUM(N9:N28)-N29</f>
        <v>0</v>
      </c>
      <c r="O30" s="63" t="n">
        <f aca="false">SUM(O9:O28)-O29</f>
        <v>0</v>
      </c>
    </row>
    <row r="33" customFormat="false" ht="15" hidden="false" customHeight="false" outlineLevel="0" collapsed="false">
      <c r="A33" s="56" t="s">
        <v>252</v>
      </c>
    </row>
    <row r="34" customFormat="false" ht="15" hidden="false" customHeight="false" outlineLevel="0" collapsed="false">
      <c r="A34" s="37" t="s">
        <v>100</v>
      </c>
      <c r="C34" s="38" t="s">
        <v>72</v>
      </c>
      <c r="D34" s="38" t="s">
        <v>73</v>
      </c>
      <c r="E34" s="38" t="s">
        <v>74</v>
      </c>
      <c r="F34" s="38" t="s">
        <v>75</v>
      </c>
      <c r="G34" s="38" t="s">
        <v>76</v>
      </c>
      <c r="H34" s="38" t="s">
        <v>77</v>
      </c>
      <c r="J34" s="39" t="s">
        <v>253</v>
      </c>
    </row>
    <row r="35" customFormat="false" ht="15" hidden="false" customHeight="false" outlineLevel="0" collapsed="false">
      <c r="A35" s="8" t="s">
        <v>254</v>
      </c>
      <c r="C35" s="51" t="n">
        <v>210496736</v>
      </c>
      <c r="D35" s="51" t="n">
        <v>235588670</v>
      </c>
      <c r="E35" s="51" t="n">
        <v>228363600</v>
      </c>
      <c r="F35" s="51" t="n">
        <v>218394670</v>
      </c>
      <c r="G35" s="51" t="n">
        <v>215303200</v>
      </c>
      <c r="H35" s="51" t="n">
        <v>196813496</v>
      </c>
      <c r="J35" s="27" t="n">
        <f aca="false">C36-H35</f>
        <v>-32196116</v>
      </c>
    </row>
    <row r="36" customFormat="false" ht="15" hidden="false" customHeight="false" outlineLevel="0" collapsed="false">
      <c r="A36" s="8" t="s">
        <v>255</v>
      </c>
      <c r="C36" s="51" t="n">
        <v>164617380</v>
      </c>
      <c r="D36" s="51" t="n">
        <v>159086521</v>
      </c>
      <c r="E36" s="51" t="n">
        <v>149819904</v>
      </c>
      <c r="F36" s="51" t="n">
        <v>138952867</v>
      </c>
      <c r="G36" s="51" t="n">
        <v>134547396</v>
      </c>
      <c r="H36" s="51" t="n">
        <v>112635095</v>
      </c>
      <c r="J36" s="27" t="n">
        <f aca="false">C37-H36</f>
        <v>28731453</v>
      </c>
    </row>
    <row r="37" customFormat="false" ht="15" hidden="false" customHeight="false" outlineLevel="0" collapsed="false">
      <c r="A37" s="8" t="s">
        <v>256</v>
      </c>
      <c r="C37" s="51" t="n">
        <v>141366548</v>
      </c>
      <c r="D37" s="51" t="n">
        <v>138136071</v>
      </c>
      <c r="E37" s="51" t="n">
        <v>126713763</v>
      </c>
      <c r="F37" s="51" t="n">
        <v>110696581</v>
      </c>
      <c r="G37" s="51" t="n">
        <v>112494414</v>
      </c>
      <c r="H37" s="51" t="n">
        <v>122419789</v>
      </c>
      <c r="J37" s="27" t="n">
        <f aca="false">C38-H37</f>
        <v>21593471</v>
      </c>
    </row>
    <row r="38" customFormat="false" ht="15" hidden="false" customHeight="false" outlineLevel="0" collapsed="false">
      <c r="A38" s="8" t="s">
        <v>257</v>
      </c>
      <c r="C38" s="51" t="n">
        <v>144013260</v>
      </c>
      <c r="D38" s="51" t="n">
        <v>139822640</v>
      </c>
      <c r="E38" s="51" t="n">
        <v>129332969</v>
      </c>
      <c r="F38" s="51" t="n">
        <v>176629765</v>
      </c>
      <c r="G38" s="51" t="n">
        <v>211301042</v>
      </c>
      <c r="H38" s="51" t="n">
        <v>207939447</v>
      </c>
    </row>
    <row r="40" customFormat="false" ht="15" hidden="false" customHeight="false" outlineLevel="0" collapsed="false">
      <c r="A40" s="2" t="s">
        <v>258</v>
      </c>
    </row>
    <row r="42" customFormat="false" ht="15" hidden="false" customHeight="false" outlineLevel="0" collapsed="false">
      <c r="A42" s="56" t="s">
        <v>259</v>
      </c>
    </row>
    <row r="43" customFormat="false" ht="15" hidden="false" customHeight="false" outlineLevel="0" collapsed="false">
      <c r="A43" s="37" t="s">
        <v>100</v>
      </c>
      <c r="C43" s="38" t="s">
        <v>240</v>
      </c>
      <c r="D43" s="38" t="s">
        <v>241</v>
      </c>
      <c r="E43" s="38" t="s">
        <v>242</v>
      </c>
      <c r="F43" s="38" t="s">
        <v>243</v>
      </c>
      <c r="G43" s="38" t="s">
        <v>244</v>
      </c>
      <c r="H43" s="38" t="s">
        <v>245</v>
      </c>
    </row>
    <row r="44" customFormat="false" ht="15" hidden="false" customHeight="false" outlineLevel="0" collapsed="false">
      <c r="A44" s="8" t="s">
        <v>254</v>
      </c>
      <c r="C44" s="51" t="n">
        <v>30948037</v>
      </c>
      <c r="D44" s="51" t="n">
        <v>4566603</v>
      </c>
      <c r="E44" s="51" t="n">
        <v>5128035</v>
      </c>
      <c r="F44" s="51" t="n">
        <v>4431206</v>
      </c>
      <c r="G44" s="51" t="n">
        <v>3177167</v>
      </c>
      <c r="H44" s="51" t="n">
        <v>7632065</v>
      </c>
    </row>
    <row r="45" customFormat="false" ht="15" hidden="false" customHeight="false" outlineLevel="0" collapsed="false">
      <c r="A45" s="8" t="s">
        <v>255</v>
      </c>
      <c r="C45" s="51" t="n">
        <v>27062023</v>
      </c>
      <c r="D45" s="51" t="n">
        <v>3312630</v>
      </c>
      <c r="E45" s="51" t="n">
        <v>4441632</v>
      </c>
      <c r="F45" s="51" t="n">
        <v>4330181</v>
      </c>
      <c r="G45" s="51" t="n">
        <v>3420777</v>
      </c>
      <c r="H45" s="51" t="n">
        <v>3880873</v>
      </c>
    </row>
    <row r="46" customFormat="false" ht="15" hidden="false" customHeight="false" outlineLevel="0" collapsed="false">
      <c r="A46" s="8" t="s">
        <v>256</v>
      </c>
      <c r="C46" s="51" t="n">
        <v>27354678</v>
      </c>
      <c r="D46" s="51" t="n">
        <v>3731531</v>
      </c>
      <c r="E46" s="51" t="n">
        <v>4537984</v>
      </c>
      <c r="F46" s="51" t="n">
        <v>3922121</v>
      </c>
      <c r="G46" s="51" t="n">
        <v>3891538</v>
      </c>
      <c r="H46" s="51" t="n">
        <v>5518338</v>
      </c>
    </row>
    <row r="47" customFormat="false" ht="15" hidden="false" customHeight="false" outlineLevel="0" collapsed="false">
      <c r="A47" s="8" t="s">
        <v>257</v>
      </c>
      <c r="C47" s="51" t="n">
        <v>29212699</v>
      </c>
      <c r="D47" s="51" t="n">
        <v>3879319</v>
      </c>
      <c r="E47" s="51" t="n">
        <v>5697446</v>
      </c>
      <c r="F47" s="51" t="n">
        <v>4067190</v>
      </c>
      <c r="G47" s="51" t="n">
        <v>2974132</v>
      </c>
      <c r="H47" s="51" t="n">
        <v>2687623</v>
      </c>
    </row>
    <row r="48" customFormat="false" ht="15" hidden="false" customHeight="false" outlineLevel="0" collapsed="false">
      <c r="A48" s="36" t="s">
        <v>260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2026-10-27T01:08:19Z</dcterms:created>
  <dc:creator>openpyxl</dc:creator>
  <dc:description/>
  <dc:language>en-US</dc:language>
  <cp:lastModifiedBy/>
  <dcterms:modified xsi:type="dcterms:W3CDTF">2026-10-27T01:08:21Z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